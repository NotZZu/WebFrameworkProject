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'실행이력'!$A$4:$A$14</f>
            </numRef>
          </cat>
          <val>
            <numRef>
              <f>'실행이력'!$E$4:$E$14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'실행이력'!$A$4:$A$14</f>
            </numRef>
          </cat>
          <val>
            <numRef>
              <f>'실행이력'!$F$4:$F$14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'실행이력'!$A$4:$A$14</f>
            </numRef>
          </cat>
          <val>
            <numRef>
              <f>'실행이력'!$G$4:$G$14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IT-01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/api/auth/signup: 동일 아이디 2회 요청</t>
        </is>
      </c>
      <c r="G12" s="29" t="inlineStr">
        <is>
          <t>1차 201, 2차 409(DUPLICATE_USERNAME), users 1건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IT-02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정상</t>
        </is>
      </c>
      <c r="F13" s="29" t="inlineStr">
        <is>
          <t>POST /api/auth/signup: 정상 가입 응답</t>
        </is>
      </c>
      <c r="G13" s="29" t="inlineStr">
        <is>
          <t>201, 응답에 id/username/user_type, 비밀번호·해시 미포함, DB 에는 bcrypt 해시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IT-03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비정상</t>
        </is>
      </c>
      <c r="F14" s="29" t="inlineStr">
        <is>
          <t>POST /api/auth/signup: 잘못된 입력</t>
        </is>
      </c>
      <c r="G14" s="29" t="inlineStr">
        <is>
          <t>400 VALIDATION_ERROR, users 0건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IT-04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비정상</t>
        </is>
      </c>
      <c r="F15" s="29" t="inlineStr">
        <is>
          <t>POST /api/auth/signup: 본문 없음/JSON 아님</t>
        </is>
      </c>
      <c r="G15" s="29" t="inlineStr">
        <is>
          <t>400 (500 이 아님)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IT-05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/api/auth/login: 로그인 후 세션 유지</t>
        </is>
      </c>
      <c r="G16" s="29" t="inlineStr">
        <is>
          <t>200 → GET /api/auth/me 가 본인 정보 반환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IT-06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POST /api/auth/login: 세션 쿠키 보안 속성</t>
        </is>
      </c>
      <c r="G17" s="29" t="inlineStr">
        <is>
          <t>Set-Cookie 에 HttpOnly 와 SameSite 포함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IT-07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SC-01</t>
        </is>
      </c>
      <c r="E18" s="27" t="inlineStr">
        <is>
          <t>보안</t>
        </is>
      </c>
      <c r="F18" s="29" t="inlineStr">
        <is>
          <t>POST /api/auth/login: 실패 시 401, 계정 존재 여부 비노출</t>
        </is>
      </c>
      <c r="G18" s="29" t="inlineStr">
        <is>
          <t>없는 아이디/틀린 비밀번호의 응답 본문 동일, 이후에도 /me 는 401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IT-08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SC-01</t>
        </is>
      </c>
      <c r="E19" s="27" t="inlineStr">
        <is>
          <t>보안</t>
        </is>
      </c>
      <c r="F19" s="29" t="inlineStr">
        <is>
          <t>POST /api/auth/login: SQL 인젝션/빈 값</t>
        </is>
      </c>
      <c r="G19" s="29" t="inlineStr">
        <is>
          <t>401 또는 400, 500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IT-09</t>
        </is>
      </c>
      <c r="B20" s="27" t="inlineStr">
        <is>
          <t>통합</t>
        </is>
      </c>
      <c r="C20" s="27" t="inlineStr">
        <is>
          <t>FR-01</t>
        </is>
      </c>
      <c r="D20" s="28" t="inlineStr">
        <is>
          <t>SC-01</t>
        </is>
      </c>
      <c r="E20" s="27" t="inlineStr">
        <is>
          <t>정상</t>
        </is>
      </c>
      <c r="F20" s="29" t="inlineStr">
        <is>
          <t>POST /api/auth/logout: 세션 종료</t>
        </is>
      </c>
      <c r="G20" s="29" t="inlineStr">
        <is>
          <t>204 이후 /me 401, 재로그아웃도 오류 없음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IT-10</t>
        </is>
      </c>
      <c r="B21" s="27" t="inlineStr">
        <is>
          <t>통합</t>
        </is>
      </c>
      <c r="C21" s="27" t="inlineStr">
        <is>
          <t>FR-01</t>
        </is>
      </c>
      <c r="D21" s="28" t="inlineStr">
        <is>
          <t>SC-01</t>
        </is>
      </c>
      <c r="E21" s="27" t="inlineStr">
        <is>
          <t>보안</t>
        </is>
      </c>
      <c r="F21" s="29" t="inlineStr">
        <is>
          <t>세션: 서로 다른 클라이언트 격리 / 위조 쿠키</t>
        </is>
      </c>
      <c r="G21" s="29" t="inlineStr">
        <is>
          <t>A 로그인이 B 에 영향 없음, 임의 쿠키는 401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IT-11</t>
        </is>
      </c>
      <c r="B22" s="27" t="inlineStr">
        <is>
          <t>통합</t>
        </is>
      </c>
      <c r="C22" s="27" t="inlineStr">
        <is>
          <t>FR-01</t>
        </is>
      </c>
      <c r="D22" s="28" t="inlineStr">
        <is>
          <t>공통</t>
        </is>
      </c>
      <c r="E22" s="27" t="inlineStr">
        <is>
          <t>보안</t>
        </is>
      </c>
      <c r="F22" s="29" t="inlineStr">
        <is>
          <t>보호 API: 미로그인 호출</t>
        </is>
      </c>
      <c r="G22" s="29" t="inlineStr">
        <is>
          <t>401 반환, 어떤 레코드도 생성되지 않음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IT-12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공통</t>
        </is>
      </c>
      <c r="E23" s="27" t="inlineStr">
        <is>
          <t>경계</t>
        </is>
      </c>
      <c r="F23" s="29" t="inlineStr">
        <is>
          <t>오류 응답 형식 일관성</t>
        </is>
      </c>
      <c r="G23" s="29" t="inlineStr">
        <is>
          <t>존재하지 않는 /api 경로 404, 잘못된 메서드 405 모두 JSON {error:{code,message}}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IT-13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정상</t>
        </is>
      </c>
      <c r="F24" s="29" t="inlineStr">
        <is>
          <t>POST /api/privacy/process: 가명/익명 각 1회</t>
        </is>
      </c>
      <c r="G24" s="29" t="inlineStr">
        <is>
          <t>level별 personal_info 가 올바른 값으로 저장 (가명=PSN-…, 익명=None/'익명')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IT-14</t>
        </is>
      </c>
      <c r="B25" s="27" t="inlineStr">
        <is>
          <t>통합</t>
        </is>
      </c>
      <c r="C25" s="27" t="inlineStr">
        <is>
          <t>FR-02</t>
        </is>
      </c>
      <c r="D25" s="28" t="inlineStr">
        <is>
          <t>SC-03</t>
        </is>
      </c>
      <c r="E25" s="27" t="inlineStr">
        <is>
          <t>보안</t>
        </is>
      </c>
      <c r="F25" s="29" t="inlineStr">
        <is>
          <t>가명·익명 처리: 원본 개인정보 비저장·비노출</t>
        </is>
      </c>
      <c r="G25" s="29" t="inlineStr">
        <is>
          <t>응답과 DB 전 테이블 어디에도 '홍길동' / '1990-04-12' 없음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IT-15</t>
        </is>
      </c>
      <c r="B26" s="27" t="inlineStr">
        <is>
          <t>통합</t>
        </is>
      </c>
      <c r="C26" s="27" t="inlineStr">
        <is>
          <t>FR-02</t>
        </is>
      </c>
      <c r="D26" s="28" t="inlineStr">
        <is>
          <t>SC-03</t>
        </is>
      </c>
      <c r="E26" s="27" t="inlineStr">
        <is>
          <t>비정상</t>
        </is>
      </c>
      <c r="F26" s="29" t="inlineStr">
        <is>
          <t>POST /api/privacy/process: 잘못된 입력</t>
        </is>
      </c>
      <c r="G26" s="29" t="inlineStr">
        <is>
          <t>400 VALIDATION_ERROR, personal_info 0건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IT-16</t>
        </is>
      </c>
      <c r="B27" s="27" t="inlineStr">
        <is>
          <t>통합</t>
        </is>
      </c>
      <c r="C27" s="27" t="inlineStr">
        <is>
          <t>FR-02</t>
        </is>
      </c>
      <c r="D27" s="28" t="inlineStr">
        <is>
          <t>SC-03</t>
        </is>
      </c>
      <c r="E27" s="27" t="inlineStr">
        <is>
          <t>정상</t>
        </is>
      </c>
      <c r="F27" s="29" t="inlineStr">
        <is>
          <t>GET /api/privacy/me: 처리 전 404, 처리 후 200</t>
        </is>
      </c>
      <c r="G27" s="29" t="inlineStr">
        <is>
          <t>404 NOT_FOUND → 200 {level, display, pseudonym_id}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IT-17</t>
        </is>
      </c>
      <c r="B28" s="27" t="inlineStr">
        <is>
          <t>통합</t>
        </is>
      </c>
      <c r="C28" s="27" t="inlineStr">
        <is>
          <t>FR-02</t>
        </is>
      </c>
      <c r="D28" s="28" t="inlineStr">
        <is>
          <t>SC-03</t>
        </is>
      </c>
      <c r="E28" s="27" t="inlineStr">
        <is>
          <t>보안</t>
        </is>
      </c>
      <c r="F28" s="29" t="inlineStr">
        <is>
          <t>개인정보 처리 결과는 본인 것만 조회</t>
        </is>
      </c>
      <c r="G28" s="29" t="inlineStr">
        <is>
          <t>A 의 처리 결과가 B 의 /privacy/me 에 노출되지 않음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IT-18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정상</t>
        </is>
      </c>
      <c r="F29" s="29" t="inlineStr">
        <is>
          <t>POST /api/cavp/applications → GET 목록</t>
        </is>
      </c>
      <c r="G29" s="29" t="inlineStr">
        <is>
          <t>201 status=submitted, 목록 응답에 방금 신청 포함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IT-19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비정상</t>
        </is>
      </c>
      <c r="F30" s="29" t="inlineStr">
        <is>
          <t>신청 입력 오류/중복</t>
        </is>
      </c>
      <c r="G30" s="29" t="inlineStr">
        <is>
          <t>미허용 알고리즘 400, 진행 중 중복 409(DUPLICATE_APPLICATION), 레코드 증가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IT-20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경계</t>
        </is>
      </c>
      <c r="F31" s="29" t="inlineStr">
        <is>
          <t>신청 목록: 상태 필터·페이지네이션 쿼리</t>
        </is>
      </c>
      <c r="G31" s="29" t="inlineStr">
        <is>
          <t>status/page/per_page 가 반영되고 total 이 필터 기준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IT-21</t>
        </is>
      </c>
      <c r="B32" s="27" t="inlineStr">
        <is>
          <t>통합</t>
        </is>
      </c>
      <c r="C32" s="27" t="inlineStr">
        <is>
          <t>FR-03</t>
        </is>
      </c>
      <c r="D32" s="28" t="inlineStr">
        <is>
          <t>SC-04</t>
        </is>
      </c>
      <c r="E32" s="27" t="inlineStr">
        <is>
          <t>비정상</t>
        </is>
      </c>
      <c r="F32" s="29" t="inlineStr">
        <is>
          <t>신청 목록: 잘못된 쿼리 파라미터</t>
        </is>
      </c>
      <c r="G32" s="29" t="inlineStr">
        <is>
          <t>page=0, per_page=51, per_page=abc, status=weird → 400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IT-22</t>
        </is>
      </c>
      <c r="B33" s="27" t="inlineStr">
        <is>
          <t>통합</t>
        </is>
      </c>
      <c r="C33" s="27" t="inlineStr">
        <is>
          <t>FR-03</t>
        </is>
      </c>
      <c r="D33" s="28" t="inlineStr">
        <is>
          <t>SC-04</t>
        </is>
      </c>
      <c r="E33" s="27" t="inlineStr">
        <is>
          <t>보안</t>
        </is>
      </c>
      <c r="F33" s="29" t="inlineStr">
        <is>
          <t>신청 조회 격리: 타인 신청 목록/상세</t>
        </is>
      </c>
      <c r="G33" s="29" t="inlineStr">
        <is>
          <t>목록에 타인 건 없음, 타인 상세 403 FORBIDDEN, 없는 id 404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IT-23</t>
        </is>
      </c>
      <c r="B34" s="27" t="inlineStr">
        <is>
          <t>통합</t>
        </is>
      </c>
      <c r="C34" s="27" t="inlineStr">
        <is>
          <t>FR-03</t>
        </is>
      </c>
      <c r="D34" s="28" t="inlineStr">
        <is>
          <t>SC-04</t>
        </is>
      </c>
      <c r="E34" s="27" t="inlineStr">
        <is>
          <t>정상</t>
        </is>
      </c>
      <c r="F34" s="29" t="inlineStr">
        <is>
          <t>PATCH /api/cavp/applications/{id}/status: 기관 심사 흐름</t>
        </is>
      </c>
      <c r="G34" s="29" t="inlineStr">
        <is>
          <t>submitted→reviewing→approved 200, 잘못된 전이 409 INVALID_TRANSITION, 기관은 타인 신청 상세 조회 가능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IT-24</t>
        </is>
      </c>
      <c r="B35" s="27" t="inlineStr">
        <is>
          <t>통합</t>
        </is>
      </c>
      <c r="C35" s="27" t="inlineStr">
        <is>
          <t>FR-03</t>
        </is>
      </c>
      <c r="D35" s="28" t="inlineStr">
        <is>
          <t>SC-04</t>
        </is>
      </c>
      <c r="E35" s="27" t="inlineStr">
        <is>
          <t>보안</t>
        </is>
      </c>
      <c r="F35" s="29" t="inlineStr">
        <is>
          <t>PATCH status: 기관이 아닌 사용자 / 알 수 없는 상태</t>
        </is>
      </c>
      <c r="G35" s="29" t="inlineStr">
        <is>
          <t>403 FORBIDDEN / 400 VALIDATION_ERROR, 상태 불변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IT-25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정상</t>
        </is>
      </c>
      <c r="F36" s="29" t="inlineStr">
        <is>
          <t>POST /api/cavp/applications/{id}/certificate: 승인 건 발급</t>
        </is>
      </c>
      <c r="G36" s="29" t="inlineStr">
        <is>
          <t>201, tamper_status=normal, 소유자의 /api/certificates 목록·상세에 노출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IT-26</t>
        </is>
      </c>
      <c r="B37" s="27" t="inlineStr">
        <is>
          <t>통합</t>
        </is>
      </c>
      <c r="C37" s="27" t="inlineStr">
        <is>
          <t>FR-04</t>
        </is>
      </c>
      <c r="D37" s="28" t="inlineStr">
        <is>
          <t>SC-06</t>
        </is>
      </c>
      <c r="E37" s="27" t="inlineStr">
        <is>
          <t>비정상</t>
        </is>
      </c>
      <c r="F37" s="29" t="inlineStr">
        <is>
          <t>검증서 발급 오류 경로</t>
        </is>
      </c>
      <c r="G37" s="29" t="inlineStr">
        <is>
          <t>미승인 신청 409, 중복 발급 409, 비기관 403, 잘못된 cert_type 400, 레코드 증가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IT-27</t>
        </is>
      </c>
      <c r="B38" s="27" t="inlineStr">
        <is>
          <t>통합</t>
        </is>
      </c>
      <c r="C38" s="27" t="inlineStr">
        <is>
          <t>FR-05</t>
        </is>
      </c>
      <c r="D38" s="28" t="inlineStr">
        <is>
          <t>SC-07</t>
        </is>
      </c>
      <c r="E38" s="27" t="inlineStr">
        <is>
          <t>정상</t>
        </is>
      </c>
      <c r="F38" s="29" t="inlineStr">
        <is>
          <t>GET /api/certificates/{id}/verify: 정상 건 / 위변조 의심 건</t>
        </is>
      </c>
      <c r="G38" s="29" t="inlineStr">
        <is>
          <t>tamper_status 값에 따라 판정 필드 일치(normal / suspected)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IT-28</t>
        </is>
      </c>
      <c r="B39" s="27" t="inlineStr">
        <is>
          <t>통합</t>
        </is>
      </c>
      <c r="C39" s="27" t="inlineStr">
        <is>
          <t>FR-05</t>
        </is>
      </c>
      <c r="D39" s="28" t="inlineStr">
        <is>
          <t>SC-07</t>
        </is>
      </c>
      <c r="E39" s="27" t="inlineStr">
        <is>
          <t>비정상</t>
        </is>
      </c>
      <c r="F39" s="29" t="inlineStr">
        <is>
          <t>검증서 파일 삭제 후 verify</t>
        </is>
      </c>
      <c r="G39" s="29" t="inlineStr">
        <is>
          <t>200 + suspected (서버 오류 500 아님)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IT-29</t>
        </is>
      </c>
      <c r="B40" s="27" t="inlineStr">
        <is>
          <t>통합</t>
        </is>
      </c>
      <c r="C40" s="27" t="inlineStr">
        <is>
          <t>FR-04</t>
        </is>
      </c>
      <c r="D40" s="28" t="inlineStr">
        <is>
          <t>SC-06</t>
        </is>
      </c>
      <c r="E40" s="27" t="inlineStr">
        <is>
          <t>보안</t>
        </is>
      </c>
      <c r="F40" s="29" t="inlineStr">
        <is>
          <t>검증서 조회 격리</t>
        </is>
      </c>
      <c r="G40" s="29" t="inlineStr">
        <is>
          <t>타인의 검증서 상세·verify 403, 목록에 타인 건 없음, 없는 id 404</t>
        </is>
      </c>
      <c r="H40" s="28" t="inlineStr">
        <is>
          <t>Should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IT-30</t>
        </is>
      </c>
      <c r="B41" s="27" t="inlineStr">
        <is>
          <t>통합</t>
        </is>
      </c>
      <c r="C41" s="27" t="inlineStr">
        <is>
          <t>FR-05</t>
        </is>
      </c>
      <c r="D41" s="28" t="inlineStr">
        <is>
          <t>SC-07</t>
        </is>
      </c>
      <c r="E41" s="27" t="inlineStr">
        <is>
          <t>보안</t>
        </is>
      </c>
      <c r="F41" s="29" t="inlineStr">
        <is>
          <t>검증서 응답 보안: 서버 파일 경로·해시 원문 비노출</t>
        </is>
      </c>
      <c r="G41" s="29" t="inlineStr">
        <is>
          <t>응답 본문에 저장 디렉터리 경로 없음</t>
        </is>
      </c>
      <c r="H41" s="28" t="inlineStr">
        <is>
          <t>Should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IT-31</t>
        </is>
      </c>
      <c r="B42" s="27" t="inlineStr">
        <is>
          <t>통합</t>
        </is>
      </c>
      <c r="C42" s="27" t="inlineStr">
        <is>
          <t>FR-14</t>
        </is>
      </c>
      <c r="D42" s="28" t="inlineStr">
        <is>
          <t>공통</t>
        </is>
      </c>
      <c r="E42" s="27" t="inlineStr">
        <is>
          <t>정상</t>
        </is>
      </c>
      <c r="F42" s="29" t="inlineStr">
        <is>
          <t>E2E: 가입→로그인→가명처리→신청→심사→발급→조회→변조탐지</t>
        </is>
      </c>
      <c r="G42" s="29" t="inlineStr">
        <is>
          <t>전 단계 성공, 변조 후 suspected</t>
        </is>
      </c>
      <c r="H42" s="28" t="inlineStr">
        <is>
          <t>Should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IT-32</t>
        </is>
      </c>
      <c r="B43" s="27" t="inlineStr">
        <is>
          <t>통합</t>
        </is>
      </c>
      <c r="C43" s="27" t="inlineStr">
        <is>
          <t>FR-04</t>
        </is>
      </c>
      <c r="D43" s="28" t="inlineStr">
        <is>
          <t>공통</t>
        </is>
      </c>
      <c r="E43" s="27" t="inlineStr">
        <is>
          <t>정상</t>
        </is>
      </c>
      <c r="F43" s="29" t="inlineStr">
        <is>
          <t>초기데이터(seed) 적재 후 데모 계정으로 화면 데이터 조회</t>
        </is>
      </c>
      <c r="G43" s="29" t="inlineStr">
        <is>
          <t>demo_individual 로그인 → 신청/검증서 목록 존재, 위변조 의심 건 1건 확인(기관 계정)</t>
        </is>
      </c>
      <c r="H43" s="28" t="inlineStr">
        <is>
          <t>Should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IT-33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SC-02</t>
        </is>
      </c>
      <c r="E44" s="27" t="inlineStr">
        <is>
          <t>정상</t>
        </is>
      </c>
      <c r="F44" s="29" t="inlineStr">
        <is>
          <t>GET /api/dashboard: 로그인 사용자의 요약 구조</t>
        </is>
      </c>
      <c r="G44" s="29" t="inlineStr">
        <is>
          <t>200, scope/user/applications/certificates/privacy/recent_applications/notifications 키 포함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IT-34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SC-02</t>
        </is>
      </c>
      <c r="E45" s="27" t="inlineStr">
        <is>
          <t>보안</t>
        </is>
      </c>
      <c r="F45" s="29" t="inlineStr">
        <is>
          <t>GET /api/dashboard: 비로그인 접근</t>
        </is>
      </c>
      <c r="G45" s="29" t="inlineStr">
        <is>
          <t>401 AUTHENTICATION_FAILED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IT-35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SC-02</t>
        </is>
      </c>
      <c r="E46" s="27" t="inlineStr">
        <is>
          <t>보안</t>
        </is>
      </c>
      <c r="F46" s="29" t="inlineStr">
        <is>
          <t>GET /api/dashboard: 사용자 간 데이터 격리</t>
        </is>
      </c>
      <c r="G46" s="29" t="inlineStr">
        <is>
          <t>A 의 신청/검증서 건수가 B 의 응답에 포함되지 않음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IT-36</t>
        </is>
      </c>
      <c r="B47" s="27" t="inlineStr">
        <is>
          <t>통합</t>
        </is>
      </c>
      <c r="C47" s="27" t="inlineStr">
        <is>
          <t>FR-03</t>
        </is>
      </c>
      <c r="D47" s="28" t="inlineStr">
        <is>
          <t>SC-02</t>
        </is>
      </c>
      <c r="E47" s="27" t="inlineStr">
        <is>
          <t>정상</t>
        </is>
      </c>
      <c r="F47" s="29" t="inlineStr">
        <is>
          <t>GET /api/dashboard: 기관 사용자는 전체 범위</t>
        </is>
      </c>
      <c r="G47" s="29" t="inlineStr">
        <is>
          <t>scope=all, 타 사용자 신청도 집계에 포함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IT-37</t>
        </is>
      </c>
      <c r="B48" s="27" t="inlineStr">
        <is>
          <t>통합</t>
        </is>
      </c>
      <c r="C48" s="27" t="inlineStr">
        <is>
          <t>FR-03</t>
        </is>
      </c>
      <c r="D48" s="28" t="inlineStr">
        <is>
          <t>SC-02</t>
        </is>
      </c>
      <c r="E48" s="27" t="inlineStr">
        <is>
          <t>보안</t>
        </is>
      </c>
      <c r="F48" s="29" t="inlineStr">
        <is>
          <t>GET /api/dashboard: 비밀번호/해시 비노출</t>
        </is>
      </c>
      <c r="G48" s="29" t="inlineStr">
        <is>
          <t>응답 본문에 password / hash 문자열 없음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IT-38</t>
        </is>
      </c>
      <c r="B49" s="27" t="inlineStr">
        <is>
          <t>통합</t>
        </is>
      </c>
      <c r="C49" s="27" t="inlineStr">
        <is>
          <t>FR-03</t>
        </is>
      </c>
      <c r="D49" s="28" t="inlineStr">
        <is>
          <t>SC-02</t>
        </is>
      </c>
      <c r="E49" s="27" t="inlineStr">
        <is>
          <t>정상</t>
        </is>
      </c>
      <c r="F49" s="29" t="inlineStr">
        <is>
          <t>GET /api/dashboard: 데이터 변경 즉시 반영</t>
        </is>
      </c>
      <c r="G49" s="29" t="inlineStr">
        <is>
          <t>신청·위변조 의심 검증서 추가 후 재호출 시 건수·알림 증가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IT-39</t>
        </is>
      </c>
      <c r="B50" s="27" t="inlineStr">
        <is>
          <t>통합</t>
        </is>
      </c>
      <c r="C50" s="27" t="inlineStr">
        <is>
          <t>FR-03</t>
        </is>
      </c>
      <c r="D50" s="28" t="inlineStr">
        <is>
          <t>SC-02</t>
        </is>
      </c>
      <c r="E50" s="27" t="inlineStr">
        <is>
          <t>정상</t>
        </is>
      </c>
      <c r="F50" s="29" t="inlineStr">
        <is>
          <t>GET /dashboard 페이지: 접근 제어와 화면 요소</t>
        </is>
      </c>
      <c r="G50" s="29" t="inlineStr">
        <is>
          <t>비로그인 302 → /, 로그인 시 #welcome/#kpi-in-progress/#recent-body/#notifications/#logout 포함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IT-40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SC-02</t>
        </is>
      </c>
      <c r="E51" s="27" t="inlineStr">
        <is>
          <t>비정상</t>
        </is>
      </c>
      <c r="F51" s="29" t="inlineStr">
        <is>
          <t>POST /api/dashboard: 허용되지 않은 메서드</t>
        </is>
      </c>
      <c r="G51" s="29" t="inlineStr">
        <is>
          <t>405 METHOD_NOT_ALLOWED JSON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UT-AUTH-01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정상</t>
        </is>
      </c>
      <c r="F52" s="29" t="inlineStr">
        <is>
          <t>hash_password: 원문과 다른 bcrypt 해시</t>
        </is>
      </c>
      <c r="G52" s="29" t="inlineStr">
        <is>
          <t>원문과 다르며 '$2' 로 시작하는 bcrypt 해시 문자열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UT-AUTH-02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정상</t>
        </is>
      </c>
      <c r="F53" s="29" t="inlineStr">
        <is>
          <t>hash_password: 동일 입력도 salt 로 매번 다른 해시</t>
        </is>
      </c>
      <c r="G53" s="29" t="inlineStr">
        <is>
          <t>두 번 호출한 해시가 서로 다름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UT-AUTH-03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정상</t>
        </is>
      </c>
      <c r="F54" s="29" t="inlineStr">
        <is>
          <t>verify_password: 올바른 평문</t>
        </is>
      </c>
      <c r="G54" s="29" t="inlineStr">
        <is>
          <t>True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UT-AUTH-04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비정상</t>
        </is>
      </c>
      <c r="F55" s="29" t="inlineStr">
        <is>
          <t>verify_password: 잘못된 평문</t>
        </is>
      </c>
      <c r="G55" s="29" t="inlineStr">
        <is>
          <t>False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UT-AUTH-05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경계</t>
        </is>
      </c>
      <c r="F56" s="29" t="inlineStr">
        <is>
          <t>verify_password: 대소문자 구분</t>
        </is>
      </c>
      <c r="G56" s="29" t="inlineStr">
        <is>
          <t>대소문자만 다른 평문은 False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UT-AUTH-06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verify_password: 빈 입력/깨진 해시는 예외 없이 False</t>
        </is>
      </c>
      <c r="G57" s="29" t="inlineStr">
        <is>
          <t>예외 없이 False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UT-AUTH-07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경계</t>
        </is>
      </c>
      <c r="F58" s="29" t="inlineStr">
        <is>
          <t>hash_password: 한글·특수문자 포함 비밀번호</t>
        </is>
      </c>
      <c r="G58" s="29" t="inlineStr">
        <is>
          <t>해시 생성 후 verify 가 True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UT-AUTH-08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signup: 개인 사용자 가입</t>
        </is>
      </c>
      <c r="G59" s="29" t="inlineStr">
        <is>
          <t>User 생성, password_hash 는 원문과 다른 bcrypt 값, org_code 는 None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UT-AUTH-09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정상</t>
        </is>
      </c>
      <c r="F60" s="29" t="inlineStr">
        <is>
          <t>signup: 기업/기관 사용자는 org_code 와 함께 가입</t>
        </is>
      </c>
      <c r="G60" s="29" t="inlineStr">
        <is>
          <t>user_type·org_code 가 그대로 저장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UT-AUTH-10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비정상</t>
        </is>
      </c>
      <c r="F61" s="29" t="inlineStr">
        <is>
          <t>signup: 기업/기관인데 org_code 누락</t>
        </is>
      </c>
      <c r="G61" s="29" t="inlineStr">
        <is>
          <t>ValidationError, 사용자 미생성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UT-AUTH-11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경계</t>
        </is>
      </c>
      <c r="F62" s="29" t="inlineStr">
        <is>
          <t>signup: 개인 사용자가 org_code 를 보내도 저장하지 않음</t>
        </is>
      </c>
      <c r="G62" s="29" t="inlineStr">
        <is>
          <t>org_code 는 None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UT-AUTH-12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비정상</t>
        </is>
      </c>
      <c r="F63" s="29" t="inlineStr">
        <is>
          <t>signup: 중복 username</t>
        </is>
      </c>
      <c r="G63" s="29" t="inlineStr">
        <is>
          <t>DuplicateUsernameError, users 레코드 1건 유지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UT-AUTH-13</t>
        </is>
      </c>
      <c r="B64" s="27" t="inlineStr">
        <is>
          <t>단위</t>
        </is>
      </c>
      <c r="C64" s="27" t="inlineStr">
        <is>
          <t>FR-01</t>
        </is>
      </c>
      <c r="D64" s="28" t="inlineStr">
        <is>
          <t>SC-01</t>
        </is>
      </c>
      <c r="E64" s="27" t="inlineStr">
        <is>
          <t>경계</t>
        </is>
      </c>
      <c r="F64" s="29" t="inlineStr">
        <is>
          <t>signup: username 은 대소문자를 구분(Alice01 ≠ alice01)</t>
        </is>
      </c>
      <c r="G64" s="29" t="inlineStr">
        <is>
          <t>두 계정 모두 생성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UT-AUTH-14</t>
        </is>
      </c>
      <c r="B65" s="27" t="inlineStr">
        <is>
          <t>단위</t>
        </is>
      </c>
      <c r="C65" s="27" t="inlineStr">
        <is>
          <t>FR-01</t>
        </is>
      </c>
      <c r="D65" s="28" t="inlineStr">
        <is>
          <t>SC-01</t>
        </is>
      </c>
      <c r="E65" s="27" t="inlineStr">
        <is>
          <t>경계</t>
        </is>
      </c>
      <c r="F65" s="29" t="inlineStr">
        <is>
          <t>signup: username 길이 경계 3/4/20/21자</t>
        </is>
      </c>
      <c r="G65" s="29" t="inlineStr">
        <is>
          <t>4~20자만 허용, 나머지 ValidationError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UT-AUTH-15</t>
        </is>
      </c>
      <c r="B66" s="27" t="inlineStr">
        <is>
          <t>단위</t>
        </is>
      </c>
      <c r="C66" s="27" t="inlineStr">
        <is>
          <t>FR-01</t>
        </is>
      </c>
      <c r="D66" s="28" t="inlineStr">
        <is>
          <t>SC-01</t>
        </is>
      </c>
      <c r="E66" s="27" t="inlineStr">
        <is>
          <t>비정상</t>
        </is>
      </c>
      <c r="F66" s="29" t="inlineStr">
        <is>
          <t>signup: username 허용 문자(영문/숫자/_) 외 입력</t>
        </is>
      </c>
      <c r="G66" s="29" t="inlineStr">
        <is>
          <t>ValidationError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UT-AUTH-16</t>
        </is>
      </c>
      <c r="B67" s="27" t="inlineStr">
        <is>
          <t>단위</t>
        </is>
      </c>
      <c r="C67" s="27" t="inlineStr">
        <is>
          <t>FR-01</t>
        </is>
      </c>
      <c r="D67" s="28" t="inlineStr">
        <is>
          <t>SC-01</t>
        </is>
      </c>
      <c r="E67" s="27" t="inlineStr">
        <is>
          <t>경계</t>
        </is>
      </c>
      <c r="F67" s="29" t="inlineStr">
        <is>
          <t>signup: 비밀번호 길이 경계 7/8/64/65자</t>
        </is>
      </c>
      <c r="G67" s="29" t="inlineStr">
        <is>
          <t>8~64자만 허용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UT-AUTH-17</t>
        </is>
      </c>
      <c r="B68" s="27" t="inlineStr">
        <is>
          <t>단위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비정상</t>
        </is>
      </c>
      <c r="F68" s="29" t="inlineStr">
        <is>
          <t>signup: 비밀번호 구성 규칙(영문+숫자 각 1자 이상)</t>
        </is>
      </c>
      <c r="G68" s="29" t="inlineStr">
        <is>
          <t>숫자만/영문만/공백만 → ValidationError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UT-AUTH-18</t>
        </is>
      </c>
      <c r="B69" s="27" t="inlineStr">
        <is>
          <t>단위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비정상</t>
        </is>
      </c>
      <c r="F69" s="29" t="inlineStr">
        <is>
          <t>signup: 허용되지 않는 user_type</t>
        </is>
      </c>
      <c r="G69" s="29" t="inlineStr">
        <is>
          <t>ValidationError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UT-AUTH-19</t>
        </is>
      </c>
      <c r="B70" s="27" t="inlineStr">
        <is>
          <t>단위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signup: 실패한 가입은 레코드를 남기지 않음(원자성)</t>
        </is>
      </c>
      <c r="G70" s="29" t="inlineStr">
        <is>
          <t>예외 후 users 0건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UT-AUTH-20</t>
        </is>
      </c>
      <c r="B71" s="27" t="inlineStr">
        <is>
          <t>단위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정상</t>
        </is>
      </c>
      <c r="F71" s="29" t="inlineStr">
        <is>
          <t>login: 올바른 자격 증명</t>
        </is>
      </c>
      <c r="G71" s="29" t="inlineStr">
        <is>
          <t>해당 User 반환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UT-AUTH-21</t>
        </is>
      </c>
      <c r="B72" s="27" t="inlineStr">
        <is>
          <t>단위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비정상</t>
        </is>
      </c>
      <c r="F72" s="29" t="inlineStr">
        <is>
          <t>login: 비밀번호 불일치</t>
        </is>
      </c>
      <c r="G72" s="29" t="inlineStr">
        <is>
          <t>AuthenticationError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UT-AUTH-22</t>
        </is>
      </c>
      <c r="B73" s="27" t="inlineStr">
        <is>
          <t>단위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보안</t>
        </is>
      </c>
      <c r="F73" s="29" t="inlineStr">
        <is>
          <t>login: 없는 아이디 — 비밀번호 불일치와 동일한 예외/메시지</t>
        </is>
      </c>
      <c r="G73" s="29" t="inlineStr">
        <is>
          <t>AuthenticationError, 메시지가 UT-AUTH-21 과 동일(계정 존재 여부 비노출)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UT-AUTH-23</t>
        </is>
      </c>
      <c r="B74" s="27" t="inlineStr">
        <is>
          <t>단위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login: 빈 입력/인젝션 문자열</t>
        </is>
      </c>
      <c r="G74" s="29" t="inlineStr">
        <is>
          <t>AuthenticationError (예외 유형 일관)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UT-AUTH-24</t>
        </is>
      </c>
      <c r="B75" s="27" t="inlineStr">
        <is>
          <t>단위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정상</t>
        </is>
      </c>
      <c r="F75" s="29" t="inlineStr">
        <is>
          <t>get_user: 존재하는 id / 없는 id</t>
        </is>
      </c>
      <c r="G75" s="29" t="inlineStr">
        <is>
          <t>존재하면 User, 없으면 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UT-CAVP-01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create_application: 유효한 알고리즘</t>
        </is>
      </c>
      <c r="G76" s="29" t="inlineStr">
        <is>
          <t>status='submitted', submitted_at 설정, 본인 소유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UT-CAVP-02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create_application: 허용 알고리즘 전체</t>
        </is>
      </c>
      <c r="G77" s="29" t="inlineStr">
        <is>
          <t>ALGORITHMS 의 모든 값 신청 가능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UT-CAVP-03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create_application: 빈 값/미허용 알고리즘</t>
        </is>
      </c>
      <c r="G78" s="29" t="inlineStr">
        <is>
          <t>ValidationError, 레코드 미생성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UT-CAVP-04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비정상</t>
        </is>
      </c>
      <c r="F79" s="29" t="inlineStr">
        <is>
          <t>create_application: 없는 사용자</t>
        </is>
      </c>
      <c r="G79" s="29" t="inlineStr">
        <is>
          <t>NotFoundError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UT-CAVP-05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비정상</t>
        </is>
      </c>
      <c r="F80" s="29" t="inlineStr">
        <is>
          <t>create_application: 진행 중 동일 알고리즘 중복 신청</t>
        </is>
      </c>
      <c r="G80" s="29" t="inlineStr">
        <is>
          <t>DuplicateApplicationError (submitted/reviewing 모두)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UT-CAVP-06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경계</t>
        </is>
      </c>
      <c r="F81" s="29" t="inlineStr">
        <is>
          <t>create_application: 종료(approved/rejected) 후 재신청 및 타 알고리즘/타 사용자 신청</t>
        </is>
      </c>
      <c r="G81" s="29" t="inlineStr">
        <is>
          <t>허용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UT-CAVP-07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update_status: 허용 전이 3종</t>
        </is>
      </c>
      <c r="G82" s="29" t="inlineStr">
        <is>
          <t>submitted→reviewing, reviewing→approved, reviewing→rejected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UT-CAVP-08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비정상</t>
        </is>
      </c>
      <c r="F83" s="29" t="inlineStr">
        <is>
          <t>update_status: 허용되지 않는 전이 전수(허용 3개 제외 13개)</t>
        </is>
      </c>
      <c r="G83" s="29" t="inlineStr">
        <is>
          <t>InvalidTransitionError, 상태 불변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UT-CAVP-09</t>
        </is>
      </c>
      <c r="B84" s="27" t="inlineStr">
        <is>
          <t>단위</t>
        </is>
      </c>
      <c r="C84" s="27" t="inlineStr">
        <is>
          <t>FR-03</t>
        </is>
      </c>
      <c r="D84" s="28" t="inlineStr">
        <is>
          <t>SC-04</t>
        </is>
      </c>
      <c r="E84" s="27" t="inlineStr">
        <is>
          <t>비정상</t>
        </is>
      </c>
      <c r="F84" s="29" t="inlineStr">
        <is>
          <t>update_status: 존재하지 않는 상태값</t>
        </is>
      </c>
      <c r="G84" s="29" t="inlineStr">
        <is>
          <t>ValidationError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UT-CAVP-10</t>
        </is>
      </c>
      <c r="B85" s="27" t="inlineStr">
        <is>
          <t>단위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경계</t>
        </is>
      </c>
      <c r="F85" s="29" t="inlineStr">
        <is>
          <t>update_status: 전이 시 updated_at 갱신</t>
        </is>
      </c>
      <c r="G85" s="29" t="inlineStr">
        <is>
          <t>updated_at 이 이전보다 이후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UT-CAVP-11</t>
        </is>
      </c>
      <c r="B86" s="27" t="inlineStr">
        <is>
          <t>단위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update_status: institution 이 아닌 사용자는 상태 변경 불가</t>
        </is>
      </c>
      <c r="G86" s="29" t="inlineStr">
        <is>
          <t>PermissionDeniedError, 상태 불변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UT-CAVP-12</t>
        </is>
      </c>
      <c r="B87" s="27" t="inlineStr">
        <is>
          <t>단위</t>
        </is>
      </c>
      <c r="C87" s="27" t="inlineStr">
        <is>
          <t>FR-03</t>
        </is>
      </c>
      <c r="D87" s="28" t="inlineStr">
        <is>
          <t>SC-04</t>
        </is>
      </c>
      <c r="E87" s="27" t="inlineStr">
        <is>
          <t>비정상</t>
        </is>
      </c>
      <c r="F87" s="29" t="inlineStr">
        <is>
          <t>update_status: 없는 신청/없는 사용자</t>
        </is>
      </c>
      <c r="G87" s="29" t="inlineStr">
        <is>
          <t>NotFoundError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UT-CAVP-13</t>
        </is>
      </c>
      <c r="B88" s="27" t="inlineStr">
        <is>
          <t>단위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정상</t>
        </is>
      </c>
      <c r="F88" s="29" t="inlineStr">
        <is>
          <t>list_applications: 본인 신청만, 최신순</t>
        </is>
      </c>
      <c r="G88" s="29" t="inlineStr">
        <is>
          <t>타인 신청 제외, submitted_at 내림차순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UT-CAVP-14</t>
        </is>
      </c>
      <c r="B89" s="27" t="inlineStr">
        <is>
          <t>단위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정상</t>
        </is>
      </c>
      <c r="F89" s="29" t="inlineStr">
        <is>
          <t>list_applications: 상태 필터</t>
        </is>
      </c>
      <c r="G89" s="29" t="inlineStr">
        <is>
          <t>해당 상태만 반환, total 도 필터 기준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UT-CAVP-15</t>
        </is>
      </c>
      <c r="B90" s="27" t="inlineStr">
        <is>
          <t>단위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비정상</t>
        </is>
      </c>
      <c r="F90" s="29" t="inlineStr">
        <is>
          <t>list_applications: 잘못된 상태 필터</t>
        </is>
      </c>
      <c r="G90" s="29" t="inlineStr">
        <is>
          <t>ValidationError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UT-CAVP-16</t>
        </is>
      </c>
      <c r="B91" s="27" t="inlineStr">
        <is>
          <t>단위</t>
        </is>
      </c>
      <c r="C91" s="27" t="inlineStr">
        <is>
          <t>FR-03</t>
        </is>
      </c>
      <c r="D91" s="28" t="inlineStr">
        <is>
          <t>SC-04</t>
        </is>
      </c>
      <c r="E91" s="27" t="inlineStr">
        <is>
          <t>경계</t>
        </is>
      </c>
      <c r="F91" s="29" t="inlineStr">
        <is>
          <t>list_applications: 페이지네이션 (25건, per_page=10)</t>
        </is>
      </c>
      <c r="G91" s="29" t="inlineStr">
        <is>
          <t>1p 10건, 2p 10건, 3p 5건, 4p 0건, total=25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UT-CAVP-17</t>
        </is>
      </c>
      <c r="B92" s="27" t="inlineStr">
        <is>
          <t>단위</t>
        </is>
      </c>
      <c r="C92" s="27" t="inlineStr">
        <is>
          <t>FR-03</t>
        </is>
      </c>
      <c r="D92" s="28" t="inlineStr">
        <is>
          <t>SC-04</t>
        </is>
      </c>
      <c r="E92" s="27" t="inlineStr">
        <is>
          <t>경계</t>
        </is>
      </c>
      <c r="F92" s="29" t="inlineStr">
        <is>
          <t>list_applications: page/per_page 경계값</t>
        </is>
      </c>
      <c r="G92" s="29" t="inlineStr">
        <is>
          <t>page 0·per_page 0/51 → ValidationError, per_page 1/50 허용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UT-CAVP-18</t>
        </is>
      </c>
      <c r="B93" s="27" t="inlineStr">
        <is>
          <t>단위</t>
        </is>
      </c>
      <c r="C93" s="27" t="inlineStr">
        <is>
          <t>FR-03</t>
        </is>
      </c>
      <c r="D93" s="28" t="inlineStr">
        <is>
          <t>SC-04</t>
        </is>
      </c>
      <c r="E93" s="27" t="inlineStr">
        <is>
          <t>정상</t>
        </is>
      </c>
      <c r="F93" s="29" t="inlineStr">
        <is>
          <t>list_applications: 신청이 없으면 빈 목록</t>
        </is>
      </c>
      <c r="G93" s="29" t="inlineStr">
        <is>
          <t>items=[], total=0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UT-CAVP-19</t>
        </is>
      </c>
      <c r="B94" s="27" t="inlineStr">
        <is>
          <t>단위</t>
        </is>
      </c>
      <c r="C94" s="27" t="inlineStr">
        <is>
          <t>FR-03</t>
        </is>
      </c>
      <c r="D94" s="28" t="inlineStr">
        <is>
          <t>SC-04</t>
        </is>
      </c>
      <c r="E94" s="27" t="inlineStr">
        <is>
          <t>정상</t>
        </is>
      </c>
      <c r="F94" s="29" t="inlineStr">
        <is>
          <t>get_application: 본인 / 타인 / 없는 id</t>
        </is>
      </c>
      <c r="G94" s="29" t="inlineStr">
        <is>
          <t>본인 반환, 타인 PermissionDeniedError, 없는 id NotFoundError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UT-CAVP-20</t>
        </is>
      </c>
      <c r="B95" s="27" t="inlineStr">
        <is>
          <t>단위</t>
        </is>
      </c>
      <c r="C95" s="27" t="inlineStr">
        <is>
          <t>FR-03</t>
        </is>
      </c>
      <c r="D95" s="28" t="inlineStr">
        <is>
          <t>SC-04</t>
        </is>
      </c>
      <c r="E95" s="27" t="inlineStr">
        <is>
          <t>경계</t>
        </is>
      </c>
      <c r="F95" s="29" t="inlineStr">
        <is>
          <t>get_application: institution 은 모든 신청 조회 가능</t>
        </is>
      </c>
      <c r="G95" s="29" t="inlineStr">
        <is>
          <t>타인 신청도 반환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UT-CERT-01</t>
        </is>
      </c>
      <c r="B96" s="27" t="inlineStr">
        <is>
          <t>단위</t>
        </is>
      </c>
      <c r="C96" s="27" t="inlineStr">
        <is>
          <t>FR-05</t>
        </is>
      </c>
      <c r="D96" s="28" t="inlineStr">
        <is>
          <t>SC-07</t>
        </is>
      </c>
      <c r="E96" s="27" t="inlineStr">
        <is>
          <t>정상</t>
        </is>
      </c>
      <c r="F96" s="29" t="inlineStr">
        <is>
          <t>compute_hash: SHA-256 hex</t>
        </is>
      </c>
      <c r="G96" s="29" t="inlineStr">
        <is>
          <t>표준 SHA-256 과 동일한 64자 소문자 hex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UT-CERT-02</t>
        </is>
      </c>
      <c r="B97" s="27" t="inlineStr">
        <is>
          <t>단위</t>
        </is>
      </c>
      <c r="C97" s="27" t="inlineStr">
        <is>
          <t>FR-05</t>
        </is>
      </c>
      <c r="D97" s="28" t="inlineStr">
        <is>
          <t>SC-07</t>
        </is>
      </c>
      <c r="E97" s="27" t="inlineStr">
        <is>
          <t>경계</t>
        </is>
      </c>
      <c r="F97" s="29" t="inlineStr">
        <is>
          <t>compute_hash: 1바이트 차이 / 빈 입력</t>
        </is>
      </c>
      <c r="G97" s="29" t="inlineStr">
        <is>
          <t>1바이트만 달라도 해시 상이, 빈 바이트도 처리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UT-CERT-03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compare_hash: 동일 해시</t>
        </is>
      </c>
      <c r="G98" s="29" t="inlineStr">
        <is>
          <t>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UT-CERT-04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비정상</t>
        </is>
      </c>
      <c r="F99" s="29" t="inlineStr">
        <is>
          <t>compare_hash: 상이한 해시</t>
        </is>
      </c>
      <c r="G99" s="29" t="inlineStr">
        <is>
          <t>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UT-CERT-05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경계</t>
        </is>
      </c>
      <c r="F100" s="29" t="inlineStr">
        <is>
          <t>compare_hash: 대소문자만 다른 hex</t>
        </is>
      </c>
      <c r="G100" s="29" t="inlineStr">
        <is>
          <t>동일 값으로 보고 'normal'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UT-CERT-06</t>
        </is>
      </c>
      <c r="B101" s="27" t="inlineStr">
        <is>
          <t>단위</t>
        </is>
      </c>
      <c r="C101" s="27" t="inlineStr">
        <is>
          <t>FR-04</t>
        </is>
      </c>
      <c r="D101" s="28" t="inlineStr">
        <is>
          <t>SC-06</t>
        </is>
      </c>
      <c r="E101" s="27" t="inlineStr">
        <is>
          <t>정상</t>
        </is>
      </c>
      <c r="F101" s="29" t="inlineStr">
        <is>
          <t>issue_certificate: 승인된 신청에 발급</t>
        </is>
      </c>
      <c r="G101" s="29" t="inlineStr">
        <is>
          <t>integrity_hash=SHA-256(내용), tamper_status='normal', 파일 저장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UT-CERT-07</t>
        </is>
      </c>
      <c r="B102" s="27" t="inlineStr">
        <is>
          <t>단위</t>
        </is>
      </c>
      <c r="C102" s="27" t="inlineStr">
        <is>
          <t>FR-04</t>
        </is>
      </c>
      <c r="D102" s="28" t="inlineStr">
        <is>
          <t>SC-06</t>
        </is>
      </c>
      <c r="E102" s="27" t="inlineStr">
        <is>
          <t>비정상</t>
        </is>
      </c>
      <c r="F102" s="29" t="inlineStr">
        <is>
          <t>issue_certificate: 승인 이전/반려 상태</t>
        </is>
      </c>
      <c r="G102" s="29" t="inlineStr">
        <is>
          <t>InvalidTransitionError, 검증서 미생성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UT-CERT-08</t>
        </is>
      </c>
      <c r="B103" s="27" t="inlineStr">
        <is>
          <t>단위</t>
        </is>
      </c>
      <c r="C103" s="27" t="inlineStr">
        <is>
          <t>FR-04</t>
        </is>
      </c>
      <c r="D103" s="28" t="inlineStr">
        <is>
          <t>SC-06</t>
        </is>
      </c>
      <c r="E103" s="27" t="inlineStr">
        <is>
          <t>비정상</t>
        </is>
      </c>
      <c r="F103" s="29" t="inlineStr">
        <is>
          <t>issue_certificate: 신청당 1건(중복 발급)</t>
        </is>
      </c>
      <c r="G103" s="29" t="inlineStr">
        <is>
          <t>DuplicateApplicationError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UT-CERT-09</t>
        </is>
      </c>
      <c r="B104" s="27" t="inlineStr">
        <is>
          <t>단위</t>
        </is>
      </c>
      <c r="C104" s="27" t="inlineStr">
        <is>
          <t>FR-04</t>
        </is>
      </c>
      <c r="D104" s="28" t="inlineStr">
        <is>
          <t>SC-06</t>
        </is>
      </c>
      <c r="E104" s="27" t="inlineStr">
        <is>
          <t>보안</t>
        </is>
      </c>
      <c r="F104" s="29" t="inlineStr">
        <is>
          <t>issue_certificate: institution 이 아니면 발급 불가</t>
        </is>
      </c>
      <c r="G104" s="29" t="inlineStr">
        <is>
          <t>PermissionDeniedError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UT-CERT-10</t>
        </is>
      </c>
      <c r="B105" s="27" t="inlineStr">
        <is>
          <t>단위</t>
        </is>
      </c>
      <c r="C105" s="27" t="inlineStr">
        <is>
          <t>FR-04</t>
        </is>
      </c>
      <c r="D105" s="28" t="inlineStr">
        <is>
          <t>SC-06</t>
        </is>
      </c>
      <c r="E105" s="27" t="inlineStr">
        <is>
          <t>비정상</t>
        </is>
      </c>
      <c r="F105" s="29" t="inlineStr">
        <is>
          <t>issue_certificate: 잘못된 cert_type / 빈 내용 / 없는 신청</t>
        </is>
      </c>
      <c r="G105" s="29" t="inlineStr">
        <is>
          <t>ValidationError / ValidationError / NotFoundError</t>
        </is>
      </c>
      <c r="H105" s="28" t="inlineStr">
        <is>
          <t>Should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UT-CERT-11</t>
        </is>
      </c>
      <c r="B106" s="27" t="inlineStr">
        <is>
          <t>단위</t>
        </is>
      </c>
      <c r="C106" s="27" t="inlineStr">
        <is>
          <t>FR-04</t>
        </is>
      </c>
      <c r="D106" s="28" t="inlineStr">
        <is>
          <t>SC-06</t>
        </is>
      </c>
      <c r="E106" s="27" t="inlineStr">
        <is>
          <t>경계</t>
        </is>
      </c>
      <c r="F106" s="29" t="inlineStr">
        <is>
          <t>issue_certificate: KCMVP 유형도 발급</t>
        </is>
      </c>
      <c r="G106" s="29" t="inlineStr">
        <is>
          <t>cert_type='KCMVP'</t>
        </is>
      </c>
      <c r="H106" s="28" t="inlineStr">
        <is>
          <t>Should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UT-CERT-12</t>
        </is>
      </c>
      <c r="B107" s="27" t="inlineStr">
        <is>
          <t>단위</t>
        </is>
      </c>
      <c r="C107" s="27" t="inlineStr">
        <is>
          <t>FR-04</t>
        </is>
      </c>
      <c r="D107" s="28" t="inlineStr">
        <is>
          <t>SC-06</t>
        </is>
      </c>
      <c r="E107" s="27" t="inlineStr">
        <is>
          <t>정상</t>
        </is>
      </c>
      <c r="F107" s="29" t="inlineStr">
        <is>
          <t>list_certificates: 본인 신청 소속만, 최신 발급순</t>
        </is>
      </c>
      <c r="G107" s="29" t="inlineStr">
        <is>
          <t>타인 검증서 제외, issued_at 내림차순</t>
        </is>
      </c>
      <c r="H107" s="28" t="inlineStr">
        <is>
          <t>Should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UT-CERT-13</t>
        </is>
      </c>
      <c r="B108" s="27" t="inlineStr">
        <is>
          <t>단위</t>
        </is>
      </c>
      <c r="C108" s="27" t="inlineStr">
        <is>
          <t>FR-04</t>
        </is>
      </c>
      <c r="D108" s="28" t="inlineStr">
        <is>
          <t>SC-06</t>
        </is>
      </c>
      <c r="E108" s="27" t="inlineStr">
        <is>
          <t>경계</t>
        </is>
      </c>
      <c r="F108" s="29" t="inlineStr">
        <is>
          <t>list_certificates: 페이지네이션/경계/빈 목록</t>
        </is>
      </c>
      <c r="G108" s="29" t="inlineStr">
        <is>
          <t>per_page 1~50, page&gt;=1, 빈 목록은 total=0</t>
        </is>
      </c>
      <c r="H108" s="28" t="inlineStr">
        <is>
          <t>Should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UT-CERT-14</t>
        </is>
      </c>
      <c r="B109" s="27" t="inlineStr">
        <is>
          <t>단위</t>
        </is>
      </c>
      <c r="C109" s="27" t="inlineStr">
        <is>
          <t>FR-04</t>
        </is>
      </c>
      <c r="D109" s="28" t="inlineStr">
        <is>
          <t>SC-06</t>
        </is>
      </c>
      <c r="E109" s="27" t="inlineStr">
        <is>
          <t>정상</t>
        </is>
      </c>
      <c r="F109" s="29" t="inlineStr">
        <is>
          <t>get_certificate: 본인 / 타인 / 없는 id</t>
        </is>
      </c>
      <c r="G109" s="29" t="inlineStr">
        <is>
          <t>본인 반환, 타인 PermissionDeniedError, 없는 id NotFoundError</t>
        </is>
      </c>
      <c r="H109" s="28" t="inlineStr">
        <is>
          <t>Should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UT-CERT-15</t>
        </is>
      </c>
      <c r="B110" s="27" t="inlineStr">
        <is>
          <t>단위</t>
        </is>
      </c>
      <c r="C110" s="27" t="inlineStr">
        <is>
          <t>FR-05</t>
        </is>
      </c>
      <c r="D110" s="28" t="inlineStr">
        <is>
          <t>SC-07</t>
        </is>
      </c>
      <c r="E110" s="27" t="inlineStr">
        <is>
          <t>정상</t>
        </is>
      </c>
      <c r="F110" s="29" t="inlineStr">
        <is>
          <t>verify_integrity: 파일 무결 → normal</t>
        </is>
      </c>
      <c r="G110" s="29" t="inlineStr">
        <is>
          <t>tamper_status='normal'</t>
        </is>
      </c>
      <c r="H110" s="28" t="inlineStr">
        <is>
          <t>Should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UT-CERT-16</t>
        </is>
      </c>
      <c r="B111" s="27" t="inlineStr">
        <is>
          <t>단위</t>
        </is>
      </c>
      <c r="C111" s="27" t="inlineStr">
        <is>
          <t>FR-05</t>
        </is>
      </c>
      <c r="D111" s="28" t="inlineStr">
        <is>
          <t>SC-07</t>
        </is>
      </c>
      <c r="E111" s="27" t="inlineStr">
        <is>
          <t>정상</t>
        </is>
      </c>
      <c r="F111" s="29" t="inlineStr">
        <is>
          <t>verify_integrity: 파일 변조 → suspected(DB 에도 반영)</t>
        </is>
      </c>
      <c r="G111" s="29" t="inlineStr">
        <is>
          <t>반환값과 DB 의 tamper_status 모두 'suspected'</t>
        </is>
      </c>
      <c r="H111" s="28" t="inlineStr">
        <is>
          <t>Should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UT-CERT-17</t>
        </is>
      </c>
      <c r="B112" s="27" t="inlineStr">
        <is>
          <t>단위</t>
        </is>
      </c>
      <c r="C112" s="27" t="inlineStr">
        <is>
          <t>FR-05</t>
        </is>
      </c>
      <c r="D112" s="28" t="inlineStr">
        <is>
          <t>SC-07</t>
        </is>
      </c>
      <c r="E112" s="27" t="inlineStr">
        <is>
          <t>비정상</t>
        </is>
      </c>
      <c r="F112" s="29" t="inlineStr">
        <is>
          <t>verify_integrity: 파일 삭제/누락 → suspected</t>
        </is>
      </c>
      <c r="G112" s="29" t="inlineStr">
        <is>
          <t>'suspected' (예외 아님)</t>
        </is>
      </c>
      <c r="H112" s="28" t="inlineStr">
        <is>
          <t>Should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UT-CERT-18</t>
        </is>
      </c>
      <c r="B113" s="27" t="inlineStr">
        <is>
          <t>단위</t>
        </is>
      </c>
      <c r="C113" s="27" t="inlineStr">
        <is>
          <t>FR-05</t>
        </is>
      </c>
      <c r="D113" s="28" t="inlineStr">
        <is>
          <t>SC-07</t>
        </is>
      </c>
      <c r="E113" s="27" t="inlineStr">
        <is>
          <t>경계</t>
        </is>
      </c>
      <c r="F113" s="29" t="inlineStr">
        <is>
          <t>verify_integrity: 원복 후 재검증 시 normal</t>
        </is>
      </c>
      <c r="G113" s="29" t="inlineStr">
        <is>
          <t>변조 → suspected, 원복 → normal</t>
        </is>
      </c>
      <c r="H113" s="28" t="inlineStr">
        <is>
          <t>Should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UT-CERT-19</t>
        </is>
      </c>
      <c r="B114" s="27" t="inlineStr">
        <is>
          <t>단위</t>
        </is>
      </c>
      <c r="C114" s="27" t="inlineStr">
        <is>
          <t>FR-05</t>
        </is>
      </c>
      <c r="D114" s="28" t="inlineStr">
        <is>
          <t>SC-07</t>
        </is>
      </c>
      <c r="E114" s="27" t="inlineStr">
        <is>
          <t>비정상</t>
        </is>
      </c>
      <c r="F114" s="29" t="inlineStr">
        <is>
          <t>verify_integrity: 존재하지 않는 cert_id</t>
        </is>
      </c>
      <c r="G114" s="29" t="inlineStr">
        <is>
          <t>NotFoundError</t>
        </is>
      </c>
      <c r="H114" s="28" t="inlineStr">
        <is>
          <t>Should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UT-CERT-20</t>
        </is>
      </c>
      <c r="B115" s="27" t="inlineStr">
        <is>
          <t>단위</t>
        </is>
      </c>
      <c r="C115" s="27" t="inlineStr">
        <is>
          <t>FR-05</t>
        </is>
      </c>
      <c r="D115" s="28" t="inlineStr">
        <is>
          <t>SC-07</t>
        </is>
      </c>
      <c r="E115" s="27" t="inlineStr">
        <is>
          <t>보안</t>
        </is>
      </c>
      <c r="F115" s="29" t="inlineStr">
        <is>
          <t>verify_integrity: 저장된 integrity_hash 자체는 변경하지 않음</t>
        </is>
      </c>
      <c r="G115" s="29" t="inlineStr">
        <is>
          <t>검증 후에도 integrity_hash 불변</t>
        </is>
      </c>
      <c r="H115" s="28" t="inlineStr">
        <is>
          <t>Should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UT-CERT-21</t>
        </is>
      </c>
      <c r="B116" s="27" t="inlineStr">
        <is>
          <t>단위</t>
        </is>
      </c>
      <c r="C116" s="27" t="inlineStr">
        <is>
          <t>FR-05</t>
        </is>
      </c>
      <c r="D116" s="28" t="inlineStr">
        <is>
          <t>SC-07</t>
        </is>
      </c>
      <c r="E116" s="27" t="inlineStr">
        <is>
          <t>경계</t>
        </is>
      </c>
      <c r="F116" s="29" t="inlineStr">
        <is>
          <t>verify_integrity: 시드처럼 이미 suspected 인 건(파일 없음)</t>
        </is>
      </c>
      <c r="G116" s="29" t="inlineStr">
        <is>
          <t>파일이 없으면 suspected 유지</t>
        </is>
      </c>
      <c r="H116" s="28" t="inlineStr">
        <is>
          <t>Should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UT-DASH-01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SC-02</t>
        </is>
      </c>
      <c r="E117" s="27" t="inlineStr">
        <is>
          <t>정상</t>
        </is>
      </c>
      <c r="F117" s="29" t="inlineStr">
        <is>
          <t>get_summary: 본인 신청만 집계</t>
        </is>
      </c>
      <c r="G117" s="29" t="inlineStr">
        <is>
          <t>타인 신청은 total·by_status 에 포함되지 않음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UT-DASH-02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SC-02</t>
        </is>
      </c>
      <c r="E118" s="27" t="inlineStr">
        <is>
          <t>정상</t>
        </is>
      </c>
      <c r="F118" s="29" t="inlineStr">
        <is>
          <t>get_summary: 진행 중 = 접수 대기 + 심사 중, by_status 는 4개 키 항상 존재</t>
        </is>
      </c>
      <c r="G118" s="29" t="inlineStr">
        <is>
          <t>in_progress 합산, 0건 상태도 0 으로 표기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UT-DASH-03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SC-02</t>
        </is>
      </c>
      <c r="E119" s="27" t="inlineStr">
        <is>
          <t>경계</t>
        </is>
      </c>
      <c r="F119" s="29" t="inlineStr">
        <is>
          <t>get_summary: 데이터가 전혀 없는 신규 사용자</t>
        </is>
      </c>
      <c r="G119" s="29" t="inlineStr">
        <is>
          <t>모든 수치 0, 목록·알림 빈 배열, 가명처리 미처리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UT-DASH-04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SC-02</t>
        </is>
      </c>
      <c r="E120" s="27" t="inlineStr">
        <is>
          <t>정상</t>
        </is>
      </c>
      <c r="F120" s="29" t="inlineStr">
        <is>
          <t>get_summary: 최근 신청은 최신순 최대 3건</t>
        </is>
      </c>
      <c r="G120" s="29" t="inlineStr">
        <is>
          <t>5건 중 최신 3건, 필드 id/algorithm_type/status/status_label/submitted_at(YYYY-MM-DD)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UT-DASH-05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SC-02</t>
        </is>
      </c>
      <c r="E121" s="27" t="inlineStr">
        <is>
          <t>정상</t>
        </is>
      </c>
      <c r="F121" s="29" t="inlineStr">
        <is>
          <t>get_summary: 상태 라벨 매핑</t>
        </is>
      </c>
      <c r="G121" s="29" t="inlineStr">
        <is>
          <t>submitted 접수 대기 / reviewing 시험 진행중 / approved 시험 완료 / rejected 반려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UT-DASH-06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SC-02</t>
        </is>
      </c>
      <c r="E122" s="27" t="inlineStr">
        <is>
          <t>경계</t>
        </is>
      </c>
      <c r="F122" s="29" t="inlineStr">
        <is>
          <t>get_summary: 최근 7일 신규 신청 경계</t>
        </is>
      </c>
      <c r="G122" s="29" t="inlineStr">
        <is>
          <t>정확히 7일 전은 포함, 7일 1분 초과는 제외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UT-DASH-07</t>
        </is>
      </c>
      <c r="B123" s="27" t="inlineStr">
        <is>
          <t>단위</t>
        </is>
      </c>
      <c r="C123" s="27" t="inlineStr">
        <is>
          <t>FR-04</t>
        </is>
      </c>
      <c r="D123" s="28" t="inlineStr">
        <is>
          <t>SC-02</t>
        </is>
      </c>
      <c r="E123" s="27" t="inlineStr">
        <is>
          <t>정상</t>
        </is>
      </c>
      <c r="F123" s="29" t="inlineStr">
        <is>
          <t>get_summary: 검증서 집계(본인 신청 소속만, 위변조 의심 별도)</t>
        </is>
      </c>
      <c r="G123" s="29" t="inlineStr">
        <is>
          <t>total·suspected 가 본인 건만 반영</t>
        </is>
      </c>
      <c r="H123" s="28" t="inlineStr">
        <is>
          <t>Should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UT-DASH-08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SC-02</t>
        </is>
      </c>
      <c r="E124" s="27" t="inlineStr">
        <is>
          <t>정상</t>
        </is>
      </c>
      <c r="F124" s="29" t="inlineStr">
        <is>
          <t>get_summary: 가명·익명 처리 상태</t>
        </is>
      </c>
      <c r="G124" s="29" t="inlineStr">
        <is>
          <t>처리 전 processed=False, 처리 후 level 반영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UT-DASH-09</t>
        </is>
      </c>
      <c r="B125" s="27" t="inlineStr">
        <is>
          <t>단위</t>
        </is>
      </c>
      <c r="C125" s="27" t="inlineStr">
        <is>
          <t>FR-05</t>
        </is>
      </c>
      <c r="D125" s="28" t="inlineStr">
        <is>
          <t>SC-02</t>
        </is>
      </c>
      <c r="E125" s="27" t="inlineStr">
        <is>
          <t>정상</t>
        </is>
      </c>
      <c r="F125" s="29" t="inlineStr">
        <is>
          <t>get_summary: 위변조 의심 알림이 최우선</t>
        </is>
      </c>
      <c r="G125" s="29" t="inlineStr">
        <is>
          <t>첫 알림이 warning, 메시지에 CV-0000 형식 번호 포함</t>
        </is>
      </c>
      <c r="H125" s="28" t="inlineStr">
        <is>
          <t>Should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UT-DASH-10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SC-02</t>
        </is>
      </c>
      <c r="E126" s="27" t="inlineStr">
        <is>
          <t>정상</t>
        </is>
      </c>
      <c r="F126" s="29" t="inlineStr">
        <is>
          <t>get_summary: 신청 진행/결과 알림 문구</t>
        </is>
      </c>
      <c r="G126" s="29" t="inlineStr">
        <is>
          <t>reviewing 심사 중 / approved 승인 / rejected 반려, submitted 는 알림 없음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UT-DASH-11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SC-02</t>
        </is>
      </c>
      <c r="E127" s="27" t="inlineStr">
        <is>
          <t>경계</t>
        </is>
      </c>
      <c r="F127" s="29" t="inlineStr">
        <is>
          <t>get_summary: 알림은 최대 5건</t>
        </is>
      </c>
      <c r="G127" s="29" t="inlineStr">
        <is>
          <t>8건 발생해도 5건만, 위변조 경고가 잘리지 않음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UT-DASH-12</t>
        </is>
      </c>
      <c r="B128" s="27" t="inlineStr">
        <is>
          <t>단위</t>
        </is>
      </c>
      <c r="C128" s="27" t="inlineStr">
        <is>
          <t>FR-04</t>
        </is>
      </c>
      <c r="D128" s="28" t="inlineStr">
        <is>
          <t>SC-02</t>
        </is>
      </c>
      <c r="E128" s="27" t="inlineStr">
        <is>
          <t>정상</t>
        </is>
      </c>
      <c r="F128" s="29" t="inlineStr">
        <is>
          <t>get_summary: 기관(institution) 사용자는 전체 집계</t>
        </is>
      </c>
      <c r="G128" s="29" t="inlineStr">
        <is>
          <t>scope='all', 타인 신청·검증서 포함, 가명처리는 본인 기준</t>
        </is>
      </c>
      <c r="H128" s="28" t="inlineStr">
        <is>
          <t>Should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UT-DASH-13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SC-02</t>
        </is>
      </c>
      <c r="E129" s="27" t="inlineStr">
        <is>
          <t>정상</t>
        </is>
      </c>
      <c r="F129" s="29" t="inlineStr">
        <is>
          <t>get_summary: 기업 사용자는 개인과 동일하게 본인 범위</t>
        </is>
      </c>
      <c r="G129" s="29" t="inlineStr">
        <is>
          <t>scope='own'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UT-DASH-14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SC-02</t>
        </is>
      </c>
      <c r="E130" s="27" t="inlineStr">
        <is>
          <t>비정상</t>
        </is>
      </c>
      <c r="F130" s="29" t="inlineStr">
        <is>
          <t>get_summary: 없는 사용자</t>
        </is>
      </c>
      <c r="G130" s="29" t="inlineStr">
        <is>
          <t>NotFoundError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UT-DASH-15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SC-02</t>
        </is>
      </c>
      <c r="E131" s="27" t="inlineStr">
        <is>
          <t>보안</t>
        </is>
      </c>
      <c r="F131" s="29" t="inlineStr">
        <is>
          <t>get_summary: 사용자 정보에 username/user_type 만, 민감 필드 없음</t>
        </is>
      </c>
      <c r="G131" s="29" t="inlineStr">
        <is>
          <t>결과 전체에 password/hash 키 없음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UT-DASH-16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SC-02</t>
        </is>
      </c>
      <c r="E132" s="27" t="inlineStr">
        <is>
          <t>보안</t>
        </is>
      </c>
      <c r="F132" s="29" t="inlineStr">
        <is>
          <t>get_summary: 타인 신청이 최근 목록·알림에 노출되지 않음</t>
        </is>
      </c>
      <c r="G132" s="29" t="inlineStr">
        <is>
          <t>타인 신청의 알고리즘/상태가 결과에 없음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UT-PRIV-01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SC-03</t>
        </is>
      </c>
      <c r="E133" s="27" t="inlineStr">
        <is>
          <t>정상</t>
        </is>
      </c>
      <c r="F133" s="29" t="inlineStr">
        <is>
          <t>issue_pseudonym_id: 형식 'PSN-'+16hex</t>
        </is>
      </c>
      <c r="G133" s="29" t="inlineStr">
        <is>
          <t>정규식 ^PSN-[0-9a-f]{16}$ 일치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UT-PRIV-02</t>
        </is>
      </c>
      <c r="B134" s="27" t="inlineStr">
        <is>
          <t>단위</t>
        </is>
      </c>
      <c r="C134" s="27" t="inlineStr">
        <is>
          <t>FR-02</t>
        </is>
      </c>
      <c r="D134" s="28" t="inlineStr">
        <is>
          <t>SC-03</t>
        </is>
      </c>
      <c r="E134" s="27" t="inlineStr">
        <is>
          <t>정상</t>
        </is>
      </c>
      <c r="F134" s="29" t="inlineStr">
        <is>
          <t>issue_pseudonym_id: 호출마다 다른 값</t>
        </is>
      </c>
      <c r="G134" s="29" t="inlineStr">
        <is>
          <t>1000회 호출 모두 유일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UT-PRIV-03</t>
        </is>
      </c>
      <c r="B135" s="27" t="inlineStr">
        <is>
          <t>단위</t>
        </is>
      </c>
      <c r="C135" s="27" t="inlineStr">
        <is>
          <t>FR-02</t>
        </is>
      </c>
      <c r="D135" s="28" t="inlineStr">
        <is>
          <t>SC-03</t>
        </is>
      </c>
      <c r="E135" s="27" t="inlineStr">
        <is>
          <t>경계</t>
        </is>
      </c>
      <c r="F135" s="29" t="inlineStr">
        <is>
          <t>mask_name: 길이별 마스킹 규칙</t>
        </is>
      </c>
      <c r="G135" s="29" t="inlineStr">
        <is>
          <t>홍길동→홍*동, 남궁민수→남**수, 홍길→홍*, 홍→*, John→J**n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UT-PRIV-04</t>
        </is>
      </c>
      <c r="B136" s="27" t="inlineStr">
        <is>
          <t>단위</t>
        </is>
      </c>
      <c r="C136" s="27" t="inlineStr">
        <is>
          <t>FR-02</t>
        </is>
      </c>
      <c r="D136" s="28" t="inlineStr">
        <is>
          <t>SC-03</t>
        </is>
      </c>
      <c r="E136" s="27" t="inlineStr">
        <is>
          <t>비정상</t>
        </is>
      </c>
      <c r="F136" s="29" t="inlineStr">
        <is>
          <t>mask_name: 빈 값/공백만</t>
        </is>
      </c>
      <c r="G136" s="29" t="inlineStr">
        <is>
          <t>ValidationError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UT-PRIV-05</t>
        </is>
      </c>
      <c r="B137" s="27" t="inlineStr">
        <is>
          <t>단위</t>
        </is>
      </c>
      <c r="C137" s="27" t="inlineStr">
        <is>
          <t>FR-02</t>
        </is>
      </c>
      <c r="D137" s="28" t="inlineStr">
        <is>
          <t>SC-03</t>
        </is>
      </c>
      <c r="E137" s="27" t="inlineStr">
        <is>
          <t>경계</t>
        </is>
      </c>
      <c r="F137" s="29" t="inlineStr">
        <is>
          <t>mask_name: 앞뒤 공백은 제거 후 마스킹</t>
        </is>
      </c>
      <c r="G137" s="29" t="inlineStr">
        <is>
          <t>' 홍길동 ' → '홍*동'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UT-PRIV-06</t>
        </is>
      </c>
      <c r="B138" s="27" t="inlineStr">
        <is>
          <t>단위</t>
        </is>
      </c>
      <c r="C138" s="27" t="inlineStr">
        <is>
          <t>FR-02</t>
        </is>
      </c>
      <c r="D138" s="28" t="inlineStr">
        <is>
          <t>SC-03</t>
        </is>
      </c>
      <c r="E138" s="27" t="inlineStr">
        <is>
          <t>정상</t>
        </is>
      </c>
      <c r="F138" s="29" t="inlineStr">
        <is>
          <t>mask_phone: 하이픈 유/무 입력</t>
        </is>
      </c>
      <c r="G138" s="29" t="inlineStr">
        <is>
          <t>모두 '010-****-5678'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UT-PRIV-07</t>
        </is>
      </c>
      <c r="B139" s="27" t="inlineStr">
        <is>
          <t>단위</t>
        </is>
      </c>
      <c r="C139" s="27" t="inlineStr">
        <is>
          <t>FR-02</t>
        </is>
      </c>
      <c r="D139" s="28" t="inlineStr">
        <is>
          <t>SC-03</t>
        </is>
      </c>
      <c r="E139" s="27" t="inlineStr">
        <is>
          <t>경계</t>
        </is>
      </c>
      <c r="F139" s="29" t="inlineStr">
        <is>
          <t>mask_phone: 3자리 국번 형식(010-123-4567)</t>
        </is>
      </c>
      <c r="G139" s="29" t="inlineStr">
        <is>
          <t>'010-***-4567'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UT-PRIV-08</t>
        </is>
      </c>
      <c r="B140" s="27" t="inlineStr">
        <is>
          <t>단위</t>
        </is>
      </c>
      <c r="C140" s="27" t="inlineStr">
        <is>
          <t>FR-02</t>
        </is>
      </c>
      <c r="D140" s="28" t="inlineStr">
        <is>
          <t>SC-03</t>
        </is>
      </c>
      <c r="E140" s="27" t="inlineStr">
        <is>
          <t>비정상</t>
        </is>
      </c>
      <c r="F140" s="29" t="inlineStr">
        <is>
          <t>mask_phone: 형식 오류</t>
        </is>
      </c>
      <c r="G140" s="29" t="inlineStr">
        <is>
          <t>ValidationError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UT-PRIV-09</t>
        </is>
      </c>
      <c r="B141" s="27" t="inlineStr">
        <is>
          <t>단위</t>
        </is>
      </c>
      <c r="C141" s="27" t="inlineStr">
        <is>
          <t>FR-02</t>
        </is>
      </c>
      <c r="D141" s="28" t="inlineStr">
        <is>
          <t>SC-03</t>
        </is>
      </c>
      <c r="E141" s="27" t="inlineStr">
        <is>
          <t>정상</t>
        </is>
      </c>
      <c r="F141" s="29" t="inlineStr">
        <is>
          <t>anonymize_birthdate: 대표 연령대</t>
        </is>
      </c>
      <c r="G141" s="29" t="inlineStr">
        <is>
          <t>1990-04-12 → '30대' (기준일 2026-10-02)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UT-PRIV-10</t>
        </is>
      </c>
      <c r="B142" s="27" t="inlineStr">
        <is>
          <t>단위</t>
        </is>
      </c>
      <c r="C142" s="27" t="inlineStr">
        <is>
          <t>FR-02</t>
        </is>
      </c>
      <c r="D142" s="28" t="inlineStr">
        <is>
          <t>SC-03</t>
        </is>
      </c>
      <c r="E142" s="27" t="inlineStr">
        <is>
          <t>경계</t>
        </is>
      </c>
      <c r="F142" s="29" t="inlineStr">
        <is>
          <t>anonymize_birthdate: 생일 전/후 경계(만 나이)</t>
        </is>
      </c>
      <c r="G142" s="29" t="inlineStr">
        <is>
          <t>생일 당일부터 다음 연령대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UT-PRIV-11</t>
        </is>
      </c>
      <c r="B143" s="27" t="inlineStr">
        <is>
          <t>단위</t>
        </is>
      </c>
      <c r="C143" s="27" t="inlineStr">
        <is>
          <t>FR-02</t>
        </is>
      </c>
      <c r="D143" s="28" t="inlineStr">
        <is>
          <t>SC-03</t>
        </is>
      </c>
      <c r="E143" s="27" t="inlineStr">
        <is>
          <t>경계</t>
        </is>
      </c>
      <c r="F143" s="29" t="inlineStr">
        <is>
          <t>anonymize_birthdate: 윤일(2/29) 생일</t>
        </is>
      </c>
      <c r="G143" s="29" t="inlineStr">
        <is>
          <t>평년 2/28 에는 아직 생일 전, 3/1 부터 생일 후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UT-PRIV-12</t>
        </is>
      </c>
      <c r="B144" s="27" t="inlineStr">
        <is>
          <t>단위</t>
        </is>
      </c>
      <c r="C144" s="27" t="inlineStr">
        <is>
          <t>FR-02</t>
        </is>
      </c>
      <c r="D144" s="28" t="inlineStr">
        <is>
          <t>SC-03</t>
        </is>
      </c>
      <c r="E144" s="27" t="inlineStr">
        <is>
          <t>비정상</t>
        </is>
      </c>
      <c r="F144" s="29" t="inlineStr">
        <is>
          <t>anonymize_birthdate: 미래 날짜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UT-PRIV-13</t>
        </is>
      </c>
      <c r="B145" s="27" t="inlineStr">
        <is>
          <t>단위</t>
        </is>
      </c>
      <c r="C145" s="27" t="inlineStr">
        <is>
          <t>FR-02</t>
        </is>
      </c>
      <c r="D145" s="28" t="inlineStr">
        <is>
          <t>SC-03</t>
        </is>
      </c>
      <c r="E145" s="27" t="inlineStr">
        <is>
          <t>보안</t>
        </is>
      </c>
      <c r="F145" s="29" t="inlineStr">
        <is>
          <t>anonymize_birthdate: 결과에 원본 생년월일 미포함</t>
        </is>
      </c>
      <c r="G145" s="29" t="inlineStr">
        <is>
          <t>연·월·일 숫자열이 결과에 없음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UT-PRIV-14</t>
        </is>
      </c>
      <c r="B146" s="27" t="inlineStr">
        <is>
          <t>단위</t>
        </is>
      </c>
      <c r="C146" s="27" t="inlineStr">
        <is>
          <t>FR-02</t>
        </is>
      </c>
      <c r="D146" s="28" t="inlineStr">
        <is>
          <t>SC-03</t>
        </is>
      </c>
      <c r="E146" s="27" t="inlineStr">
        <is>
          <t>정상</t>
        </is>
      </c>
      <c r="F146" s="29" t="inlineStr">
        <is>
          <t>process(pseudonym): 결과 객체</t>
        </is>
      </c>
      <c r="G146" s="29" t="inlineStr">
        <is>
          <t>level='pseudonym', pseudonym_id 형식 일치, 표시값 '홍*동 (30대)'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UT-PRIV-15</t>
        </is>
      </c>
      <c r="B147" s="27" t="inlineStr">
        <is>
          <t>단위</t>
        </is>
      </c>
      <c r="C147" s="27" t="inlineStr">
        <is>
          <t>FR-02</t>
        </is>
      </c>
      <c r="D147" s="28" t="inlineStr">
        <is>
          <t>SC-03</t>
        </is>
      </c>
      <c r="E147" s="27" t="inlineStr">
        <is>
          <t>정상</t>
        </is>
      </c>
      <c r="F147" s="29" t="inlineStr">
        <is>
          <t>process(anonymous): 식별자 없음</t>
        </is>
      </c>
      <c r="G147" s="29" t="inlineStr">
        <is>
          <t>level='anonymous', pseudonym_id=None, 표시값 '익명'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UT-PRIV-16</t>
        </is>
      </c>
      <c r="B148" s="27" t="inlineStr">
        <is>
          <t>단위</t>
        </is>
      </c>
      <c r="C148" s="27" t="inlineStr">
        <is>
          <t>FR-02</t>
        </is>
      </c>
      <c r="D148" s="28" t="inlineStr">
        <is>
          <t>SC-03</t>
        </is>
      </c>
      <c r="E148" s="27" t="inlineStr">
        <is>
          <t>비정상</t>
        </is>
      </c>
      <c r="F148" s="29" t="inlineStr">
        <is>
          <t>process: 허용되지 않는 mode</t>
        </is>
      </c>
      <c r="G148" s="29" t="inlineStr">
        <is>
          <t>ValidationError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UT-PRIV-17</t>
        </is>
      </c>
      <c r="B149" s="27" t="inlineStr">
        <is>
          <t>단위</t>
        </is>
      </c>
      <c r="C149" s="27" t="inlineStr">
        <is>
          <t>FR-02</t>
        </is>
      </c>
      <c r="D149" s="28" t="inlineStr">
        <is>
          <t>SC-03</t>
        </is>
      </c>
      <c r="E149" s="27" t="inlineStr">
        <is>
          <t>비정상</t>
        </is>
      </c>
      <c r="F149" s="29" t="inlineStr">
        <is>
          <t>process(pseudonym): 잘못된 이름/미래 생년월일</t>
        </is>
      </c>
      <c r="G149" s="29" t="inlineStr">
        <is>
          <t>ValidationError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UT-PRIV-18</t>
        </is>
      </c>
      <c r="B150" s="27" t="inlineStr">
        <is>
          <t>단위</t>
        </is>
      </c>
      <c r="C150" s="27" t="inlineStr">
        <is>
          <t>FR-02</t>
        </is>
      </c>
      <c r="D150" s="28" t="inlineStr">
        <is>
          <t>SC-03</t>
        </is>
      </c>
      <c r="E150" s="27" t="inlineStr">
        <is>
          <t>보안</t>
        </is>
      </c>
      <c r="F150" s="29" t="inlineStr">
        <is>
          <t>process: 어떤 결과 필드에도 원본 이름이 그대로 없음</t>
        </is>
      </c>
      <c r="G150" s="29" t="inlineStr">
        <is>
          <t>표시값/식별자에 '홍길동' 미포함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UT-PRIV-19</t>
        </is>
      </c>
      <c r="B151" s="27" t="inlineStr">
        <is>
          <t>단위</t>
        </is>
      </c>
      <c r="C151" s="27" t="inlineStr">
        <is>
          <t>FR-02</t>
        </is>
      </c>
      <c r="D151" s="28" t="inlineStr">
        <is>
          <t>SC-03</t>
        </is>
      </c>
      <c r="E151" s="27" t="inlineStr">
        <is>
          <t>정상</t>
        </is>
      </c>
      <c r="F151" s="29" t="inlineStr">
        <is>
          <t>process_and_store: personal_info 저장</t>
        </is>
      </c>
      <c r="G151" s="29" t="inlineStr">
        <is>
          <t>level·pseudonym_id·masked_display_value 가 처리 결과와 일치, user_id 당 1건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UT-PRIV-20</t>
        </is>
      </c>
      <c r="B152" s="27" t="inlineStr">
        <is>
          <t>단위</t>
        </is>
      </c>
      <c r="C152" s="27" t="inlineStr">
        <is>
          <t>FR-02</t>
        </is>
      </c>
      <c r="D152" s="28" t="inlineStr">
        <is>
          <t>SC-03</t>
        </is>
      </c>
      <c r="E152" s="27" t="inlineStr">
        <is>
          <t>정상</t>
        </is>
      </c>
      <c r="F152" s="29" t="inlineStr">
        <is>
          <t>process_and_store: 재처리는 갱신(중복 행 없음), 기존 pseudonym_id 유지</t>
        </is>
      </c>
      <c r="G152" s="29" t="inlineStr">
        <is>
          <t>행 1건, pseudonym_id 동일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UT-PRIV-21</t>
        </is>
      </c>
      <c r="B153" s="27" t="inlineStr">
        <is>
          <t>단위</t>
        </is>
      </c>
      <c r="C153" s="27" t="inlineStr">
        <is>
          <t>FR-02</t>
        </is>
      </c>
      <c r="D153" s="28" t="inlineStr">
        <is>
          <t>SC-03</t>
        </is>
      </c>
      <c r="E153" s="27" t="inlineStr">
        <is>
          <t>정상</t>
        </is>
      </c>
      <c r="F153" s="29" t="inlineStr">
        <is>
          <t>process_and_store: 가명→익명 전환 시 pseudonym_id 제거</t>
        </is>
      </c>
      <c r="G153" s="29" t="inlineStr">
        <is>
          <t>level='anonymous', pseudonym_id=None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UT-PRIV-22</t>
        </is>
      </c>
      <c r="B154" s="27" t="inlineStr">
        <is>
          <t>단위</t>
        </is>
      </c>
      <c r="C154" s="27" t="inlineStr">
        <is>
          <t>FR-02</t>
        </is>
      </c>
      <c r="D154" s="28" t="inlineStr">
        <is>
          <t>SC-03</t>
        </is>
      </c>
      <c r="E154" s="27" t="inlineStr">
        <is>
          <t>비정상</t>
        </is>
      </c>
      <c r="F154" s="29" t="inlineStr">
        <is>
          <t>process_and_store: 없는 사용자</t>
        </is>
      </c>
      <c r="G154" s="29" t="inlineStr">
        <is>
          <t>NotFoundError, 행 미생성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UT-PRIV-23</t>
        </is>
      </c>
      <c r="B155" s="27" t="inlineStr">
        <is>
          <t>단위</t>
        </is>
      </c>
      <c r="C155" s="27" t="inlineStr">
        <is>
          <t>FR-02</t>
        </is>
      </c>
      <c r="D155" s="28" t="inlineStr">
        <is>
          <t>SC-03</t>
        </is>
      </c>
      <c r="E155" s="27" t="inlineStr">
        <is>
          <t>보안</t>
        </is>
      </c>
      <c r="F155" s="29" t="inlineStr">
        <is>
          <t>process_and_store: 원본 이름·생년월일이 DB 어느 테이블에도 저장되지 않음</t>
        </is>
      </c>
      <c r="G155" s="29" t="inlineStr">
        <is>
          <t>전 테이블 덤프에 '홍길동'/'1990-04-12' 없음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UT-PRIV-24</t>
        </is>
      </c>
      <c r="B156" s="27" t="inlineStr">
        <is>
          <t>단위</t>
        </is>
      </c>
      <c r="C156" s="27" t="inlineStr">
        <is>
          <t>FR-02</t>
        </is>
      </c>
      <c r="D156" s="28" t="inlineStr">
        <is>
          <t>SC-03</t>
        </is>
      </c>
      <c r="E156" s="27" t="inlineStr">
        <is>
          <t>정상</t>
        </is>
      </c>
      <c r="F156" s="29" t="inlineStr">
        <is>
          <t>get_privacy_info: 저장 후 조회 / 미처리 사용자</t>
        </is>
      </c>
      <c r="G156" s="29" t="inlineStr">
        <is>
          <t>저장된 행 반환, 없으면 NotFoundError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UT-SEED-01</t>
        </is>
      </c>
      <c r="B157" s="27" t="inlineStr">
        <is>
          <t>단위</t>
        </is>
      </c>
      <c r="C157" s="27" t="inlineStr">
        <is>
          <t>FR-01</t>
        </is>
      </c>
      <c r="D157" s="28" t="inlineStr">
        <is>
          <t>공통</t>
        </is>
      </c>
      <c r="E157" s="27" t="inlineStr">
        <is>
          <t>정상</t>
        </is>
      </c>
      <c r="F157" s="29" t="inlineStr">
        <is>
          <t>seed: 사용자 3종 생성</t>
        </is>
      </c>
      <c r="G157" s="29" t="inlineStr">
        <is>
          <t>individual/company/institution 각 1명, 기업·기관은 org_code 보유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UT-SEED-02</t>
        </is>
      </c>
      <c r="B158" s="27" t="inlineStr">
        <is>
          <t>단위</t>
        </is>
      </c>
      <c r="C158" s="27" t="inlineStr">
        <is>
          <t>FR-01</t>
        </is>
      </c>
      <c r="D158" s="28" t="inlineStr">
        <is>
          <t>공통</t>
        </is>
      </c>
      <c r="E158" s="27" t="inlineStr">
        <is>
          <t>보안</t>
        </is>
      </c>
      <c r="F158" s="29" t="inlineStr">
        <is>
          <t>seed: 데모 계정 비밀번호는 해시로 저장되고 로그인 가능</t>
        </is>
      </c>
      <c r="G158" s="29" t="inlineStr">
        <is>
          <t>평문 미저장, login('demo_individual','Demo1234') 성공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UT-SEED-03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공통</t>
        </is>
      </c>
      <c r="E159" s="27" t="inlineStr">
        <is>
          <t>정상</t>
        </is>
      </c>
      <c r="F159" s="29" t="inlineStr">
        <is>
          <t>seed: 신청 4건 이상, 4개 상태 모두 포함</t>
        </is>
      </c>
      <c r="G159" s="29" t="inlineStr">
        <is>
          <t>submitted/reviewing/approved/rejected 각 1건 이상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UT-SEED-04</t>
        </is>
      </c>
      <c r="B160" s="27" t="inlineStr">
        <is>
          <t>단위</t>
        </is>
      </c>
      <c r="C160" s="27" t="inlineStr">
        <is>
          <t>FR-04</t>
        </is>
      </c>
      <c r="D160" s="28" t="inlineStr">
        <is>
          <t>공통</t>
        </is>
      </c>
      <c r="E160" s="27" t="inlineStr">
        <is>
          <t>정상</t>
        </is>
      </c>
      <c r="F160" s="29" t="inlineStr">
        <is>
          <t>seed: 검증서 3건 중 1건은 위변조 의심</t>
        </is>
      </c>
      <c r="G160" s="29" t="inlineStr">
        <is>
          <t>certificates=3, tamper_status='suspected' 정확히 1건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UT-SEED-05</t>
        </is>
      </c>
      <c r="B161" s="27" t="inlineStr">
        <is>
          <t>단위</t>
        </is>
      </c>
      <c r="C161" s="27" t="inlineStr">
        <is>
          <t>FR-02</t>
        </is>
      </c>
      <c r="D161" s="28" t="inlineStr">
        <is>
          <t>공통</t>
        </is>
      </c>
      <c r="E161" s="27" t="inlineStr">
        <is>
          <t>보안</t>
        </is>
      </c>
      <c r="F161" s="29" t="inlineStr">
        <is>
          <t>seed: 개인정보는 가명/익명 처리값만 적재</t>
        </is>
      </c>
      <c r="G161" s="29" t="inlineStr">
        <is>
          <t>personal_info 가 존재하고 원본 이름 형태(마스킹 없는 값) 없음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UT-SEED-06</t>
        </is>
      </c>
      <c r="B162" s="27" t="inlineStr">
        <is>
          <t>단위</t>
        </is>
      </c>
      <c r="C162" s="27" t="inlineStr">
        <is>
          <t>FR-01</t>
        </is>
      </c>
      <c r="D162" s="28" t="inlineStr">
        <is>
          <t>공통</t>
        </is>
      </c>
      <c r="E162" s="27" t="inlineStr">
        <is>
          <t>경계</t>
        </is>
      </c>
      <c r="F162" s="29" t="inlineStr">
        <is>
          <t>seed: 멱등 — 두 번 실행해도 건수 불변</t>
        </is>
      </c>
      <c r="G162" s="29" t="inlineStr">
        <is>
          <t>2회 실행 후 건수 동일, 반환 dict 의 건수와 실제 건수 일치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</sheetData>
  <autoFilter ref="A4:J162"/>
  <conditionalFormatting sqref="J5:J162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IT-01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IT-02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IT-03</t>
        </is>
      </c>
      <c r="B13" s="32">
        <f>IF(E13&gt;0,"FAIL",IF(F13&gt;0,"RED",IF(D13&gt;0,"PASS","SKIP")))</f>
        <v/>
      </c>
      <c r="C13" s="23">
        <f>SUM(D13:G13)</f>
        <v/>
      </c>
      <c r="D13" s="23" t="n">
        <v>7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IT-04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IT-05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IT-06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IT-07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IT-08</t>
        </is>
      </c>
      <c r="B18" s="32">
        <f>IF(E18&gt;0,"FAIL",IF(F18&gt;0,"RED",IF(D18&gt;0,"PASS","SKIP")))</f>
        <v/>
      </c>
      <c r="C18" s="23">
        <f>SUM(D18:G18)</f>
        <v/>
      </c>
      <c r="D18" s="23" t="n">
        <v>4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IT-09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IT-10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IT-11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10</v>
      </c>
      <c r="G21" s="23" t="n">
        <v>0</v>
      </c>
      <c r="H21" s="22" t="n"/>
    </row>
    <row r="22">
      <c r="A22" s="22" t="inlineStr">
        <is>
          <t>IT-12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IT-13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IT-14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IT-15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6</v>
      </c>
      <c r="G25" s="23" t="n">
        <v>0</v>
      </c>
      <c r="H25" s="22" t="n"/>
    </row>
    <row r="26">
      <c r="A26" s="22" t="inlineStr">
        <is>
          <t>IT-16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IT-17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1</v>
      </c>
      <c r="G27" s="23" t="n">
        <v>0</v>
      </c>
      <c r="H27" s="22" t="n"/>
    </row>
    <row r="28">
      <c r="A28" s="22" t="inlineStr">
        <is>
          <t>IT-18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IT-19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IT-20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IT-21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4</v>
      </c>
      <c r="G31" s="23" t="n">
        <v>0</v>
      </c>
      <c r="H31" s="22" t="n"/>
    </row>
    <row r="32">
      <c r="A32" s="22" t="inlineStr">
        <is>
          <t>IT-22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IT-23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IT-24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IT-25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IT-26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IT-27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IT-28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IT-29</t>
        </is>
      </c>
      <c r="B39" s="32">
        <f>IF(E39&gt;0,"FAIL",IF(F39&gt;0,"RED",IF(D39&gt;0,"PASS","SKIP")))</f>
        <v/>
      </c>
      <c r="C39" s="23">
        <f>SUM(D39:G39)</f>
        <v/>
      </c>
      <c r="D39" s="23" t="n">
        <v>0</v>
      </c>
      <c r="E39" s="23" t="n">
        <v>0</v>
      </c>
      <c r="F39" s="23" t="n">
        <v>1</v>
      </c>
      <c r="G39" s="23" t="n">
        <v>0</v>
      </c>
      <c r="H39" s="22" t="n"/>
    </row>
    <row r="40">
      <c r="A40" s="22" t="inlineStr">
        <is>
          <t>IT-30</t>
        </is>
      </c>
      <c r="B40" s="32">
        <f>IF(E40&gt;0,"FAIL",IF(F40&gt;0,"RED",IF(D40&gt;0,"PASS","SKIP")))</f>
        <v/>
      </c>
      <c r="C40" s="23">
        <f>SUM(D40:G40)</f>
        <v/>
      </c>
      <c r="D40" s="23" t="n">
        <v>0</v>
      </c>
      <c r="E40" s="23" t="n">
        <v>0</v>
      </c>
      <c r="F40" s="23" t="n">
        <v>1</v>
      </c>
      <c r="G40" s="23" t="n">
        <v>0</v>
      </c>
      <c r="H40" s="22" t="n"/>
    </row>
    <row r="41">
      <c r="A41" s="22" t="inlineStr">
        <is>
          <t>IT-31</t>
        </is>
      </c>
      <c r="B41" s="32">
        <f>IF(E41&gt;0,"FAIL",IF(F41&gt;0,"RED",IF(D41&gt;0,"PASS","SKIP")))</f>
        <v/>
      </c>
      <c r="C41" s="23">
        <f>SUM(D41:G41)</f>
        <v/>
      </c>
      <c r="D41" s="23" t="n">
        <v>0</v>
      </c>
      <c r="E41" s="23" t="n">
        <v>0</v>
      </c>
      <c r="F41" s="23" t="n">
        <v>1</v>
      </c>
      <c r="G41" s="23" t="n">
        <v>0</v>
      </c>
      <c r="H41" s="22" t="n"/>
    </row>
    <row r="42">
      <c r="A42" s="22" t="inlineStr">
        <is>
          <t>IT-32</t>
        </is>
      </c>
      <c r="B42" s="32">
        <f>IF(E42&gt;0,"FAIL",IF(F42&gt;0,"RED",IF(D42&gt;0,"PASS","SKIP")))</f>
        <v/>
      </c>
      <c r="C42" s="23">
        <f>SUM(D42:G42)</f>
        <v/>
      </c>
      <c r="D42" s="23" t="n">
        <v>0</v>
      </c>
      <c r="E42" s="23" t="n">
        <v>0</v>
      </c>
      <c r="F42" s="23" t="n">
        <v>1</v>
      </c>
      <c r="G42" s="23" t="n">
        <v>0</v>
      </c>
      <c r="H42" s="22" t="n"/>
    </row>
    <row r="43">
      <c r="A43" s="22" t="inlineStr">
        <is>
          <t>IT-33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IT-34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IT-35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IT-36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IT-37</t>
        </is>
      </c>
      <c r="B47" s="32">
        <f>IF(E47&gt;0,"FAIL",IF(F47&gt;0,"RED",IF(D47&gt;0,"PASS","SKIP")))</f>
        <v/>
      </c>
      <c r="C47" s="23">
        <f>SUM(D47:G47)</f>
        <v/>
      </c>
      <c r="D47" s="23" t="n">
        <v>1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IT-38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IT-39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IT-40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UT-AUTH-01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UT-AUTH-02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UT-AUTH-03</t>
        </is>
      </c>
      <c r="B53" s="32">
        <f>IF(E53&gt;0,"FAIL",IF(F53&gt;0,"RED",IF(D53&gt;0,"PASS","SKIP")))</f>
        <v/>
      </c>
      <c r="C53" s="23">
        <f>SUM(D53:G53)</f>
        <v/>
      </c>
      <c r="D53" s="23" t="n">
        <v>1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UT-AUTH-04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UT-AUTH-05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UT-AUTH-06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UT-AUTH-07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UT-AUTH-08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UT-AUTH-09</t>
        </is>
      </c>
      <c r="B59" s="32">
        <f>IF(E59&gt;0,"FAIL",IF(F59&gt;0,"RED",IF(D59&gt;0,"PASS","SKIP")))</f>
        <v/>
      </c>
      <c r="C59" s="23">
        <f>SUM(D59:G59)</f>
        <v/>
      </c>
      <c r="D59" s="23" t="n">
        <v>2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UT-AUTH-10</t>
        </is>
      </c>
      <c r="B60" s="32">
        <f>IF(E60&gt;0,"FAIL",IF(F60&gt;0,"RED",IF(D60&gt;0,"PASS","SKIP")))</f>
        <v/>
      </c>
      <c r="C60" s="23">
        <f>SUM(D60:G60)</f>
        <v/>
      </c>
      <c r="D60" s="23" t="n">
        <v>6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UT-AUTH-11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UT-AUTH-12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UT-AUTH-13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UT-AUTH-14</t>
        </is>
      </c>
      <c r="B64" s="32">
        <f>IF(E64&gt;0,"FAIL",IF(F64&gt;0,"RED",IF(D64&gt;0,"PASS","SKIP")))</f>
        <v/>
      </c>
      <c r="C64" s="23">
        <f>SUM(D64:G64)</f>
        <v/>
      </c>
      <c r="D64" s="23" t="n">
        <v>4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UT-AUTH-15</t>
        </is>
      </c>
      <c r="B65" s="32">
        <f>IF(E65&gt;0,"FAIL",IF(F65&gt;0,"RED",IF(D65&gt;0,"PASS","SKIP")))</f>
        <v/>
      </c>
      <c r="C65" s="23">
        <f>SUM(D65:G65)</f>
        <v/>
      </c>
      <c r="D65" s="23" t="n">
        <v>9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UT-AUTH-16</t>
        </is>
      </c>
      <c r="B66" s="32">
        <f>IF(E66&gt;0,"FAIL",IF(F66&gt;0,"RED",IF(D66&gt;0,"PASS","SKIP")))</f>
        <v/>
      </c>
      <c r="C66" s="23">
        <f>SUM(D66:G66)</f>
        <v/>
      </c>
      <c r="D66" s="23" t="n">
        <v>4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UT-AUTH-17</t>
        </is>
      </c>
      <c r="B67" s="32">
        <f>IF(E67&gt;0,"FAIL",IF(F67&gt;0,"RED",IF(D67&gt;0,"PASS","SKIP")))</f>
        <v/>
      </c>
      <c r="C67" s="23">
        <f>SUM(D67:G67)</f>
        <v/>
      </c>
      <c r="D67" s="23" t="n">
        <v>5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UT-AUTH-18</t>
        </is>
      </c>
      <c r="B68" s="32">
        <f>IF(E68&gt;0,"FAIL",IF(F68&gt;0,"RED",IF(D68&gt;0,"PASS","SKIP")))</f>
        <v/>
      </c>
      <c r="C68" s="23">
        <f>SUM(D68:G68)</f>
        <v/>
      </c>
      <c r="D68" s="23" t="n">
        <v>4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UT-AUTH-19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UT-AUTH-20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UT-AUTH-21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UT-AUTH-22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UT-AUTH-23</t>
        </is>
      </c>
      <c r="B73" s="32">
        <f>IF(E73&gt;0,"FAIL",IF(F73&gt;0,"RED",IF(D73&gt;0,"PASS","SKIP")))</f>
        <v/>
      </c>
      <c r="C73" s="23">
        <f>SUM(D73:G73)</f>
        <v/>
      </c>
      <c r="D73" s="23" t="n">
        <v>5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UT-AUTH-24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UT-CAVP-01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UT-CAVP-02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7</v>
      </c>
      <c r="G76" s="23" t="n">
        <v>0</v>
      </c>
      <c r="H76" s="22" t="n"/>
    </row>
    <row r="77">
      <c r="A77" s="22" t="inlineStr">
        <is>
          <t>UT-CAVP-03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6</v>
      </c>
      <c r="G77" s="23" t="n">
        <v>0</v>
      </c>
      <c r="H77" s="22" t="n"/>
    </row>
    <row r="78">
      <c r="A78" s="22" t="inlineStr">
        <is>
          <t>UT-CAVP-04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UT-CAVP-05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2</v>
      </c>
      <c r="G79" s="23" t="n">
        <v>0</v>
      </c>
      <c r="H79" s="22" t="n"/>
    </row>
    <row r="80">
      <c r="A80" s="22" t="inlineStr">
        <is>
          <t>UT-CAVP-06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2</v>
      </c>
      <c r="G80" s="23" t="n">
        <v>0</v>
      </c>
      <c r="H80" s="22" t="n"/>
    </row>
    <row r="81">
      <c r="A81" s="22" t="inlineStr">
        <is>
          <t>UT-CAVP-07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3</v>
      </c>
      <c r="G81" s="23" t="n">
        <v>0</v>
      </c>
      <c r="H81" s="22" t="n"/>
    </row>
    <row r="82">
      <c r="A82" s="22" t="inlineStr">
        <is>
          <t>UT-CAVP-08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13</v>
      </c>
      <c r="G82" s="23" t="n">
        <v>3</v>
      </c>
      <c r="H82" s="22" t="n"/>
    </row>
    <row r="83">
      <c r="A83" s="22" t="inlineStr">
        <is>
          <t>UT-CAVP-09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4</v>
      </c>
      <c r="G83" s="23" t="n">
        <v>0</v>
      </c>
      <c r="H83" s="22" t="n"/>
    </row>
    <row r="84">
      <c r="A84" s="22" t="inlineStr">
        <is>
          <t>UT-CAVP-10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UT-CAVP-11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2</v>
      </c>
      <c r="G85" s="23" t="n">
        <v>0</v>
      </c>
      <c r="H85" s="22" t="n"/>
    </row>
    <row r="86">
      <c r="A86" s="22" t="inlineStr">
        <is>
          <t>UT-CAVP-12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UT-CAVP-13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UT-CAVP-14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UT-CAVP-15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1</v>
      </c>
      <c r="G89" s="23" t="n">
        <v>0</v>
      </c>
      <c r="H89" s="22" t="n"/>
    </row>
    <row r="90">
      <c r="A90" s="22" t="inlineStr">
        <is>
          <t>UT-CAVP-16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UT-CAVP-17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6</v>
      </c>
      <c r="G91" s="23" t="n">
        <v>0</v>
      </c>
      <c r="H91" s="22" t="n"/>
    </row>
    <row r="92">
      <c r="A92" s="22" t="inlineStr">
        <is>
          <t>UT-CAVP-18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UT-CAVP-19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UT-CAVP-20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3</v>
      </c>
      <c r="G101" s="23" t="n">
        <v>0</v>
      </c>
      <c r="H101" s="22" t="n"/>
    </row>
    <row r="102">
      <c r="A102" s="22" t="inlineStr">
        <is>
          <t>UT-CERT-08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2</v>
      </c>
      <c r="G103" s="23" t="n">
        <v>0</v>
      </c>
      <c r="H103" s="22" t="n"/>
    </row>
    <row r="104">
      <c r="A104" s="22" t="inlineStr">
        <is>
          <t>UT-CERT-10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UT-CERT-11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UT-CERT-12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1</v>
      </c>
      <c r="G106" s="23" t="n">
        <v>0</v>
      </c>
      <c r="H106" s="22" t="n"/>
    </row>
    <row r="107">
      <c r="A107" s="22" t="inlineStr">
        <is>
          <t>UT-CERT-13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1</v>
      </c>
      <c r="G107" s="23" t="n">
        <v>0</v>
      </c>
      <c r="H107" s="22" t="n"/>
    </row>
    <row r="108">
      <c r="A108" s="22" t="inlineStr">
        <is>
          <t>UT-CERT-14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UT-CERT-15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1</v>
      </c>
      <c r="G109" s="23" t="n">
        <v>0</v>
      </c>
      <c r="H109" s="22" t="n"/>
    </row>
    <row r="110">
      <c r="A110" s="22" t="inlineStr">
        <is>
          <t>UT-CERT-16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UT-CERT-17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1</v>
      </c>
      <c r="G111" s="23" t="n">
        <v>0</v>
      </c>
      <c r="H111" s="22" t="n"/>
    </row>
    <row r="112">
      <c r="A112" s="22" t="inlineStr">
        <is>
          <t>UT-CERT-18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UT-CERT-19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1</v>
      </c>
      <c r="G113" s="23" t="n">
        <v>0</v>
      </c>
      <c r="H113" s="22" t="n"/>
    </row>
    <row r="114">
      <c r="A114" s="22" t="inlineStr">
        <is>
          <t>UT-CERT-20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UT-CERT-21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UT-DASH-01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UT-DASH-02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UT-DASH-03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UT-DASH-04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UT-DASH-05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4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UT-DASH-06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UT-DASH-07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UT-DASH-08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2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UT-DASH-09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1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UT-DASH-10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UT-DASH-11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UT-DASH-12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UT-DASH-13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UT-DASH-14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UT-DASH-15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UT-DASH-16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UT-PRIV-01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UT-PRIV-02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  <row r="134">
      <c r="A134" s="22" t="inlineStr">
        <is>
          <t>UT-PRIV-03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5</v>
      </c>
      <c r="G134" s="23" t="n">
        <v>0</v>
      </c>
      <c r="H134" s="22" t="n"/>
    </row>
    <row r="135">
      <c r="A135" s="22" t="inlineStr">
        <is>
          <t>UT-PRIV-04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4</v>
      </c>
      <c r="G135" s="23" t="n">
        <v>0</v>
      </c>
      <c r="H135" s="22" t="n"/>
    </row>
    <row r="136">
      <c r="A136" s="22" t="inlineStr">
        <is>
          <t>UT-PRIV-05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UT-PRIV-06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2</v>
      </c>
      <c r="G137" s="23" t="n">
        <v>0</v>
      </c>
      <c r="H137" s="22" t="n"/>
    </row>
    <row r="138">
      <c r="A138" s="22" t="inlineStr">
        <is>
          <t>UT-PRIV-07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UT-PRIV-08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7</v>
      </c>
      <c r="G139" s="23" t="n">
        <v>0</v>
      </c>
      <c r="H139" s="22" t="n"/>
    </row>
    <row r="140">
      <c r="A140" s="22" t="inlineStr">
        <is>
          <t>UT-PRIV-09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UT-PRIV-10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7</v>
      </c>
      <c r="G141" s="23" t="n">
        <v>0</v>
      </c>
      <c r="H141" s="22" t="n"/>
    </row>
    <row r="142">
      <c r="A142" s="22" t="inlineStr">
        <is>
          <t>UT-PRIV-11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UT-PRIV-12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UT-PRIV-13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UT-PRIV-14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UT-PRIV-15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UT-PRIV-16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4</v>
      </c>
      <c r="G147" s="23" t="n">
        <v>0</v>
      </c>
      <c r="H147" s="22" t="n"/>
    </row>
    <row r="148">
      <c r="A148" s="22" t="inlineStr">
        <is>
          <t>UT-PRIV-17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UT-PRIV-18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2</v>
      </c>
      <c r="G149" s="23" t="n">
        <v>0</v>
      </c>
      <c r="H149" s="22" t="n"/>
    </row>
    <row r="150">
      <c r="A150" s="22" t="inlineStr">
        <is>
          <t>UT-PRIV-19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UT-PRIV-20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UT-PRIV-21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UT-PRIV-22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UT-PRIV-23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UT-PRIV-24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UT-SEED-01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UT-SEED-02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UT-SEED-03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UT-SEED-04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UT-SEED-05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0</v>
      </c>
      <c r="E160" s="23" t="n">
        <v>0</v>
      </c>
      <c r="F160" s="23" t="n">
        <v>1</v>
      </c>
      <c r="G160" s="23" t="n">
        <v>0</v>
      </c>
      <c r="H160" s="22" t="n"/>
    </row>
    <row r="161">
      <c r="A161" s="22" t="inlineStr">
        <is>
          <t>UT-SEED-06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0</v>
      </c>
      <c r="E161" s="23" t="n">
        <v>0</v>
      </c>
      <c r="F161" s="23" t="n">
        <v>1</v>
      </c>
      <c r="G161" s="23" t="n">
        <v>0</v>
      </c>
      <c r="H161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2026-10-11T14:29:19Z</dcterms:created>
  <dcterms:modified xsi:type="dcterms:W3CDTF">2026-10-11T14:29:19Z</dcterms:modified>
</cp:coreProperties>
</file>