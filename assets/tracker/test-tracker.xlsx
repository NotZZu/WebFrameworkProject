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시보드" sheetId="1" state="visible" r:id="rId1"/>
    <sheet name="케이스관리" sheetId="2" state="visible" r:id="rId2"/>
    <sheet name="케이스별결과" sheetId="3" state="visible" r:id="rId3"/>
    <sheet name="실행이력" sheetId="4" state="visible" r:id="rId4"/>
  </sheets>
  <definedNames>
    <definedName name="_xlnm._FilterDatabase" localSheetId="1" hidden="1">'케이스관리'!$A$4:$J$206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name val="Arial"/>
      <b val="1"/>
      <color rgb="001E2761"/>
      <sz val="16"/>
    </font>
    <font>
      <name val="Arial"/>
      <i val="1"/>
      <color rgb="006B7488"/>
      <sz val="9"/>
    </font>
    <font>
      <name val="Arial"/>
      <color rgb="006B7488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color rgb="00000000"/>
      <sz val="10"/>
    </font>
    <font>
      <name val="Arial"/>
      <b val="1"/>
      <color rgb="003D5AFE"/>
      <sz val="10"/>
    </font>
    <font>
      <name val="Arial"/>
      <b val="1"/>
      <color rgb="00FFFFFF"/>
      <sz val="9"/>
    </font>
    <font>
      <name val="Arial"/>
      <b val="1"/>
      <color rgb="001E2761"/>
      <sz val="22"/>
    </font>
    <font>
      <name val="Arial"/>
      <b val="1"/>
      <color rgb="002E7D32"/>
      <sz val="22"/>
    </font>
    <font>
      <name val="Arial"/>
      <b val="1"/>
      <color rgb="00C62828"/>
      <sz val="22"/>
    </font>
    <font>
      <name val="Arial"/>
      <b val="1"/>
      <color rgb="00B71C1C"/>
      <sz val="22"/>
    </font>
    <font>
      <name val="Arial"/>
      <b val="1"/>
      <color rgb="003D5AFE"/>
      <sz val="22"/>
    </font>
    <font>
      <name val="Arial"/>
      <b val="1"/>
      <color rgb="001E2761"/>
      <sz val="12"/>
    </font>
  </fonts>
  <fills count="8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FFDE7"/>
      </patternFill>
    </fill>
    <fill>
      <patternFill patternType="solid">
        <fgColor rgb="002E7D32"/>
      </patternFill>
    </fill>
    <fill>
      <patternFill patternType="solid">
        <fgColor rgb="00C62828"/>
      </patternFill>
    </fill>
    <fill>
      <patternFill patternType="solid">
        <fgColor rgb="00B71C1C"/>
      </patternFill>
    </fill>
    <fill>
      <patternFill patternType="solid">
        <fgColor rgb="003D5AFE"/>
      </patternFill>
    </fill>
  </fills>
  <borders count="2">
    <border>
      <left/>
      <right/>
      <top/>
      <bottom/>
      <diagonal/>
    </border>
    <border>
      <left style="thin">
        <color rgb="00DFE3EE"/>
      </left>
      <right style="thin">
        <color rgb="00DFE3EE"/>
      </right>
      <top style="thin">
        <color rgb="00DFE3EE"/>
      </top>
      <bottom style="thin">
        <color rgb="00DFE3EE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2" borderId="0" applyAlignment="1" pivotButton="0" quotePrefix="0" xfId="0">
      <alignment horizontal="center"/>
    </xf>
    <xf numFmtId="0" fontId="0" fillId="2" borderId="0" pivotButton="0" quotePrefix="0" xfId="0"/>
    <xf numFmtId="0" fontId="10" fillId="4" borderId="0" applyAlignment="1" pivotButton="0" quotePrefix="0" xfId="0">
      <alignment horizontal="center"/>
    </xf>
    <xf numFmtId="0" fontId="0" fillId="4" borderId="0" pivotButton="0" quotePrefix="0" xfId="0"/>
    <xf numFmtId="0" fontId="10" fillId="5" borderId="0" applyAlignment="1" pivotButton="0" quotePrefix="0" xfId="0">
      <alignment horizontal="center"/>
    </xf>
    <xf numFmtId="0" fontId="0" fillId="5" borderId="0" pivotButton="0" quotePrefix="0" xfId="0"/>
    <xf numFmtId="0" fontId="10" fillId="6" borderId="0" applyAlignment="1" pivotButton="0" quotePrefix="0" xfId="0">
      <alignment horizontal="center"/>
    </xf>
    <xf numFmtId="0" fontId="0" fillId="6" borderId="0" pivotButton="0" quotePrefix="0" xfId="0"/>
    <xf numFmtId="0" fontId="10" fillId="7" borderId="0" applyAlignment="1" pivotButton="0" quotePrefix="0" xfId="0">
      <alignment horizontal="center"/>
    </xf>
    <xf numFmtId="0" fontId="0" fillId="7" borderId="0" pivotButton="0" quotePrefix="0" xfId="0"/>
    <xf numFmtId="1" fontId="11" fillId="0" borderId="0" applyAlignment="1" pivotButton="0" quotePrefix="0" xfId="0">
      <alignment horizontal="center" vertical="center"/>
    </xf>
    <xf numFmtId="1" fontId="12" fillId="0" borderId="0" applyAlignment="1" pivotButton="0" quotePrefix="0" xfId="0">
      <alignment horizontal="center" vertical="center"/>
    </xf>
    <xf numFmtId="1" fontId="13" fillId="0" borderId="0" applyAlignment="1" pivotButton="0" quotePrefix="0" xfId="0">
      <alignment horizontal="center" vertical="center"/>
    </xf>
    <xf numFmtId="1" fontId="14" fillId="0" borderId="0" applyAlignment="1" pivotButton="0" quotePrefix="0" xfId="0">
      <alignment horizontal="center" vertical="center"/>
    </xf>
    <xf numFmtId="164" fontId="15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9" fontId="5" fillId="0" borderId="1" applyAlignment="1" pivotButton="0" quotePrefix="0" xfId="0">
      <alignment horizontal="center"/>
    </xf>
    <xf numFmtId="0" fontId="3" fillId="0" borderId="0" pivotButton="0" quotePrefix="0" xfId="0"/>
    <xf numFmtId="0" fontId="5" fillId="0" borderId="1" applyAlignment="1" pivotButton="0" quotePrefix="0" xfId="0">
      <alignment vertical="top"/>
    </xf>
    <xf numFmtId="0" fontId="6" fillId="3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</cellXfs>
  <cellStyles count="1">
    <cellStyle name="Normal" xfId="0" builtinId="0" hidden="0"/>
  </cellStyles>
  <dxfs count="5">
    <dxf>
      <font>
        <name val="Arial"/>
        <b val="1"/>
        <color rgb="001B5E20"/>
      </font>
      <fill>
        <patternFill patternType="solid">
          <fgColor rgb="00C8E6C9"/>
          <bgColor rgb="00C8E6C9"/>
        </patternFill>
      </fill>
    </dxf>
    <dxf>
      <font>
        <name val="Arial"/>
        <b val="1"/>
        <color rgb="00C62828"/>
      </font>
      <fill>
        <patternFill patternType="solid">
          <fgColor rgb="00FFE0E0"/>
          <bgColor rgb="00FFE0E0"/>
        </patternFill>
      </fill>
    </dxf>
    <dxf>
      <font>
        <name val="Arial"/>
        <b val="1"/>
        <color rgb="00FFFFFF"/>
      </font>
      <fill>
        <patternFill patternType="solid">
          <fgColor rgb="00B71C1C"/>
          <bgColor rgb="00B71C1C"/>
        </patternFill>
      </fill>
    </dxf>
    <dxf>
      <font>
        <name val="Arial"/>
        <color rgb="00616161"/>
      </font>
      <fill>
        <patternFill patternType="solid">
          <fgColor rgb="00EEEEEE"/>
          <bgColor rgb="00EEEEEE"/>
        </patternFill>
      </fill>
    </dxf>
    <dxf>
      <font>
        <name val="Arial"/>
        <color rgb="008D6E00"/>
      </font>
      <fill>
        <patternFill patternType="solid">
          <fgColor rgb="00FFF8E1"/>
          <bgColor rgb="00FFF8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시험 케이스 상태</a:t>
            </a:r>
          </a:p>
        </rich>
      </tx>
    </title>
    <plotArea>
      <doughnutChart>
        <varyColors val="1"/>
        <ser>
          <idx val="0"/>
          <order val="0"/>
          <tx>
            <strRef>
              <f>'대시보드'!C9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E7D32"/>
              </a:solidFill>
              <a:ln>
                <a:prstDash val="solid"/>
              </a:ln>
            </spPr>
          </dPt>
          <dPt>
            <idx val="1"/>
            <spPr>
              <a:solidFill>
                <a:srgbClr val="EF9A9A"/>
              </a:solidFill>
              <a:ln>
                <a:prstDash val="solid"/>
              </a:ln>
            </spPr>
          </dPt>
          <dPt>
            <idx val="2"/>
            <spPr>
              <a:solidFill>
                <a:srgbClr val="B71C1C"/>
              </a:solidFill>
              <a:ln>
                <a:prstDash val="solid"/>
              </a:ln>
            </spPr>
          </dPt>
          <dPt>
            <idx val="3"/>
            <spPr>
              <a:solidFill>
                <a:srgbClr val="9E9E9E"/>
              </a:solidFill>
              <a:ln>
                <a:prstDash val="solid"/>
              </a:ln>
            </spPr>
          </dPt>
          <dPt>
            <idx val="4"/>
            <spPr>
              <a:solidFill>
                <a:srgbClr val="FFE082"/>
              </a:solidFill>
              <a:ln>
                <a:prstDash val="solid"/>
              </a:ln>
            </spPr>
          </dPt>
          <cat>
            <numRef>
              <f>'대시보드'!$A$10:$A$14</f>
            </numRef>
          </cat>
          <val>
            <numRef>
              <f>'대시보드'!$C$10:$C$14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화면별 통과 / Red / 실패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'대시보드'!D23</f>
            </strRef>
          </tx>
          <spPr>
            <a:solidFill>
              <a:srgbClr val="2E7D32"/>
            </a:solidFill>
            <a:ln>
              <a:prstDash val="solid"/>
            </a:ln>
          </spPr>
          <cat>
            <numRef>
              <f>'대시보드'!$A$24:$A$31</f>
            </numRef>
          </cat>
          <val>
            <numRef>
              <f>'대시보드'!$D$24:$D$31</f>
            </numRef>
          </val>
        </ser>
        <ser>
          <idx val="1"/>
          <order val="1"/>
          <tx>
            <strRef>
              <f>'대시보드'!E23</f>
            </strRef>
          </tx>
          <spPr>
            <a:solidFill>
              <a:srgbClr val="EF9A9A"/>
            </a:solidFill>
            <a:ln>
              <a:prstDash val="solid"/>
            </a:ln>
          </spPr>
          <cat>
            <numRef>
              <f>'대시보드'!$A$24:$A$31</f>
            </numRef>
          </cat>
          <val>
            <numRef>
              <f>'대시보드'!$E$24:$E$31</f>
            </numRef>
          </val>
        </ser>
        <ser>
          <idx val="2"/>
          <order val="2"/>
          <tx>
            <strRef>
              <f>'대시보드'!F23</f>
            </strRef>
          </tx>
          <spPr>
            <a:solidFill>
              <a:srgbClr val="B71C1C"/>
            </a:solidFill>
            <a:ln>
              <a:prstDash val="solid"/>
            </a:ln>
          </spPr>
          <cat>
            <numRef>
              <f>'대시보드'!$A$24:$A$31</f>
            </numRef>
          </cat>
          <val>
            <numRef>
              <f>'대시보드'!$F$24:$F$31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실행별 PASS / RED / FAIL 케이스 수 (Red → Green 전환)</a:t>
            </a:r>
          </a:p>
        </rich>
      </tx>
    </title>
    <plotArea>
      <lineChart>
        <grouping val="standard"/>
        <ser>
          <idx val="0"/>
          <order val="0"/>
          <tx>
            <strRef>
              <f>'실행이력'!E3</f>
            </strRef>
          </tx>
          <spPr>
            <a:ln w="28000">
              <a:solidFill>
                <a:srgbClr val="2E7D32"/>
              </a:solidFill>
              <a:prstDash val="solid"/>
            </a:ln>
          </spPr>
          <marker>
            <symbol val="circle"/>
            <size val="7"/>
            <spPr>
              <a:solidFill>
                <a:srgbClr val="2E7D32"/>
              </a:solidFill>
              <a:ln>
                <a:solidFill>
                  <a:srgbClr val="2E7D32"/>
                </a:solidFill>
                <a:prstDash val="solid"/>
              </a:ln>
            </spPr>
          </marker>
          <cat>
            <numRef>
              <f>'실행이력'!$A$4:$A$27</f>
            </numRef>
          </cat>
          <val>
            <numRef>
              <f>'실행이력'!$E$4:$E$27</f>
            </numRef>
          </val>
        </ser>
        <ser>
          <idx val="1"/>
          <order val="1"/>
          <tx>
            <strRef>
              <f>'실행이력'!F3</f>
            </strRef>
          </tx>
          <spPr>
            <a:ln w="28000">
              <a:solidFill>
                <a:srgbClr val="E57373"/>
              </a:solidFill>
              <a:prstDash val="solid"/>
            </a:ln>
          </spPr>
          <marker>
            <symbol val="circle"/>
            <size val="7"/>
            <spPr>
              <a:solidFill>
                <a:srgbClr val="E57373"/>
              </a:solidFill>
              <a:ln>
                <a:solidFill>
                  <a:srgbClr val="E57373"/>
                </a:solidFill>
                <a:prstDash val="solid"/>
              </a:ln>
            </spPr>
          </marker>
          <cat>
            <numRef>
              <f>'실행이력'!$A$4:$A$27</f>
            </numRef>
          </cat>
          <val>
            <numRef>
              <f>'실행이력'!$F$4:$F$27</f>
            </numRef>
          </val>
        </ser>
        <ser>
          <idx val="2"/>
          <order val="2"/>
          <tx>
            <strRef>
              <f>'실행이력'!G3</f>
            </strRef>
          </tx>
          <spPr>
            <a:ln w="28000">
              <a:solidFill>
                <a:srgbClr val="B71C1C"/>
              </a:solidFill>
              <a:prstDash val="solid"/>
            </a:ln>
          </spPr>
          <marker>
            <symbol val="circle"/>
            <size val="7"/>
            <spPr>
              <a:solidFill>
                <a:srgbClr val="B71C1C"/>
              </a:solidFill>
              <a:ln>
                <a:solidFill>
                  <a:srgbClr val="B71C1C"/>
                </a:solidFill>
                <a:prstDash val="solid"/>
              </a:ln>
            </spPr>
          </marker>
          <cat>
            <numRef>
              <f>'실행이력'!$A$4:$A$27</f>
            </numRef>
          </cat>
          <val>
            <numRef>
              <f>'실행이력'!$G$4:$G$27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케이스 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7</row>
      <rowOff>0</rowOff>
    </from>
    <ext cx="396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21</row>
      <rowOff>0</rowOff>
    </from>
    <ext cx="5400000" cy="223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44</row>
      <rowOff>0</rowOff>
    </from>
    <ext cx="93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3D5AFE"/>
    <outlinePr summaryBelow="1" summaryRight="1"/>
    <pageSetUpPr fitToPage="1"/>
  </sheetPr>
  <dimension ref="A1:M4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14" customWidth="1" min="7" max="7"/>
    <col width="3" customWidth="1" min="8" max="8"/>
    <col width="12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시험·개발 진척도 대시보드</t>
        </is>
      </c>
    </row>
    <row r="2">
      <c r="A2" s="2" t="inlineStr">
        <is>
          <t>자동화 검증시스템 · TDD(Red→Green) 진척 — 모든 수치는 다른 시트에서 수식으로 계산됩니다 (엑셀에서 열면 자동 갱신)</t>
        </is>
      </c>
    </row>
    <row r="3">
      <c r="A3" s="3">
        <f>"최종 갱신: "&amp;IFERROR(INDEX('실행이력'!$A$4:$A$600,COUNTA('실행이력'!$A$4:$A$600)),"-")&amp;"  ·  브랜치: "&amp;IFERROR(INDEX('실행이력'!$B$4:$B$600,COUNTA('실행이력'!$B$4:$B$600)),"-")</f>
        <v/>
      </c>
    </row>
    <row r="5">
      <c r="A5" s="4" t="inlineStr">
        <is>
          <t>전체 케이스</t>
        </is>
      </c>
      <c r="B5" s="5" t="n"/>
      <c r="C5" s="6" t="inlineStr">
        <is>
          <t>통과 (Green)</t>
        </is>
      </c>
      <c r="D5" s="7" t="n"/>
      <c r="E5" s="8" t="inlineStr">
        <is>
          <t>구현 전 (Red)</t>
        </is>
      </c>
      <c r="F5" s="9" t="n"/>
      <c r="G5" s="10" t="inlineStr">
        <is>
          <t>실패 (병합 차단)</t>
        </is>
      </c>
      <c r="H5" s="11" t="n"/>
      <c r="I5" s="12" t="inlineStr">
        <is>
          <t>Green 진행률</t>
        </is>
      </c>
      <c r="J5" s="13" t="n"/>
    </row>
    <row r="6" ht="38" customHeight="1">
      <c r="A6" s="14">
        <f>COUNTA('케이스관리'!$A$5:$A$600)</f>
        <v/>
      </c>
      <c r="C6" s="15">
        <f>COUNTIF('케이스관리'!$J$5:$J$600,"PASS")</f>
        <v/>
      </c>
      <c r="E6" s="16">
        <f>COUNTIF('케이스관리'!$J$5:$J$600,"RED")</f>
        <v/>
      </c>
      <c r="G6" s="17">
        <f>COUNTIF('케이스관리'!$J$5:$J$600,"FAIL")</f>
        <v/>
      </c>
      <c r="I6" s="18">
        <f>IFERROR(C6/(C6+E6+G6),0)</f>
        <v/>
      </c>
    </row>
    <row r="8">
      <c r="A8" s="19" t="inlineStr">
        <is>
          <t>상태 분포</t>
        </is>
      </c>
    </row>
    <row r="9">
      <c r="A9" s="20" t="inlineStr">
        <is>
          <t>상태</t>
        </is>
      </c>
      <c r="B9" s="20" t="inlineStr">
        <is>
          <t>설명</t>
        </is>
      </c>
      <c r="C9" s="20" t="inlineStr">
        <is>
          <t>건수</t>
        </is>
      </c>
      <c r="D9" s="20" t="inlineStr">
        <is>
          <t>비율</t>
        </is>
      </c>
    </row>
    <row r="10">
      <c r="A10" s="21" t="inlineStr">
        <is>
          <t>PASS</t>
        </is>
      </c>
      <c r="B10" s="22" t="inlineStr">
        <is>
          <t>통과</t>
        </is>
      </c>
      <c r="C10" s="23">
        <f>COUNTIF('케이스관리'!$J$5:$J$600,A10)</f>
        <v/>
      </c>
      <c r="D10" s="24">
        <f>IFERROR(C10/SUM($C$10:$C$14),0)</f>
        <v/>
      </c>
    </row>
    <row r="11">
      <c r="A11" s="21" t="inlineStr">
        <is>
          <t>RED</t>
        </is>
      </c>
      <c r="B11" s="22" t="inlineStr">
        <is>
          <t>구현 전(기대된 실패)</t>
        </is>
      </c>
      <c r="C11" s="23">
        <f>COUNTIF('케이스관리'!$J$5:$J$600,A11)</f>
        <v/>
      </c>
      <c r="D11" s="24">
        <f>IFERROR(C11/SUM($C$10:$C$14),0)</f>
        <v/>
      </c>
    </row>
    <row r="12">
      <c r="A12" s="21" t="inlineStr">
        <is>
          <t>FAIL</t>
        </is>
      </c>
      <c r="B12" s="22" t="inlineStr">
        <is>
          <t>실패</t>
        </is>
      </c>
      <c r="C12" s="23">
        <f>COUNTIF('케이스관리'!$J$5:$J$600,A12)</f>
        <v/>
      </c>
      <c r="D12" s="24">
        <f>IFERROR(C12/SUM($C$10:$C$14),0)</f>
        <v/>
      </c>
    </row>
    <row r="13">
      <c r="A13" s="21" t="inlineStr">
        <is>
          <t>SKIP</t>
        </is>
      </c>
      <c r="B13" s="22" t="inlineStr">
        <is>
          <t>건너뜀</t>
        </is>
      </c>
      <c r="C13" s="23">
        <f>COUNTIF('케이스관리'!$J$5:$J$600,A13)</f>
        <v/>
      </c>
      <c r="D13" s="24">
        <f>IFERROR(C13/SUM($C$10:$C$14),0)</f>
        <v/>
      </c>
    </row>
    <row r="14">
      <c r="A14" s="21" t="inlineStr">
        <is>
          <t>미실행</t>
        </is>
      </c>
      <c r="B14" s="22" t="inlineStr">
        <is>
          <t>결과 없음</t>
        </is>
      </c>
      <c r="C14" s="23">
        <f>COUNTIF('케이스관리'!$J$5:$J$600,A14)</f>
        <v/>
      </c>
      <c r="D14" s="24">
        <f>IFERROR(C14/SUM($C$10:$C$14),0)</f>
        <v/>
      </c>
    </row>
    <row r="22">
      <c r="A22" s="19" t="inlineStr">
        <is>
          <t>화면별 진척</t>
        </is>
      </c>
    </row>
    <row r="23">
      <c r="A23" s="20" t="inlineStr">
        <is>
          <t>화면</t>
        </is>
      </c>
      <c r="B23" s="20" t="inlineStr">
        <is>
          <t>화면명</t>
        </is>
      </c>
      <c r="C23" s="20" t="inlineStr">
        <is>
          <t>전체</t>
        </is>
      </c>
      <c r="D23" s="20" t="inlineStr">
        <is>
          <t>통과</t>
        </is>
      </c>
      <c r="E23" s="20" t="inlineStr">
        <is>
          <t>Red</t>
        </is>
      </c>
      <c r="F23" s="20" t="inlineStr">
        <is>
          <t>실패</t>
        </is>
      </c>
      <c r="G23" s="20" t="inlineStr">
        <is>
          <t>진척(통과%)</t>
        </is>
      </c>
    </row>
    <row r="24">
      <c r="A24" s="21" t="inlineStr">
        <is>
          <t>SC-01</t>
        </is>
      </c>
      <c r="B24" s="22" t="inlineStr">
        <is>
          <t>로그인·회원가입</t>
        </is>
      </c>
      <c r="C24" s="23">
        <f>COUNTIF('케이스관리'!$D$5:$D$600,A24)</f>
        <v/>
      </c>
      <c r="D24" s="23">
        <f>COUNTIFS('케이스관리'!$D$5:$D$600,$A24,'케이스관리'!$J$5:$J$600,"PASS")</f>
        <v/>
      </c>
      <c r="E24" s="23">
        <f>COUNTIFS('케이스관리'!$D$5:$D$600,$A24,'케이스관리'!$J$5:$J$600,"RED")</f>
        <v/>
      </c>
      <c r="F24" s="23">
        <f>COUNTIFS('케이스관리'!$D$5:$D$600,$A24,'케이스관리'!$J$5:$J$600,"FAIL")</f>
        <v/>
      </c>
      <c r="G24" s="25">
        <f>IF(C24=0,"케이스 없음",D24/C24)</f>
        <v/>
      </c>
    </row>
    <row r="25">
      <c r="A25" s="21" t="inlineStr">
        <is>
          <t>SC-02</t>
        </is>
      </c>
      <c r="B25" s="22" t="inlineStr">
        <is>
          <t>대시보드</t>
        </is>
      </c>
      <c r="C25" s="23">
        <f>COUNTIF('케이스관리'!$D$5:$D$600,A25)</f>
        <v/>
      </c>
      <c r="D25" s="23">
        <f>COUNTIFS('케이스관리'!$D$5:$D$600,$A25,'케이스관리'!$J$5:$J$600,"PASS")</f>
        <v/>
      </c>
      <c r="E25" s="23">
        <f>COUNTIFS('케이스관리'!$D$5:$D$600,$A25,'케이스관리'!$J$5:$J$600,"RED")</f>
        <v/>
      </c>
      <c r="F25" s="23">
        <f>COUNTIFS('케이스관리'!$D$5:$D$600,$A25,'케이스관리'!$J$5:$J$600,"FAIL")</f>
        <v/>
      </c>
      <c r="G25" s="25">
        <f>IF(C25=0,"케이스 없음",D25/C25)</f>
        <v/>
      </c>
    </row>
    <row r="26">
      <c r="A26" s="21" t="inlineStr">
        <is>
          <t>SC-03</t>
        </is>
      </c>
      <c r="B26" s="22" t="inlineStr">
        <is>
          <t>가명·익명 처리</t>
        </is>
      </c>
      <c r="C26" s="23">
        <f>COUNTIF('케이스관리'!$D$5:$D$600,A26)</f>
        <v/>
      </c>
      <c r="D26" s="23">
        <f>COUNTIFS('케이스관리'!$D$5:$D$600,$A26,'케이스관리'!$J$5:$J$600,"PASS")</f>
        <v/>
      </c>
      <c r="E26" s="23">
        <f>COUNTIFS('케이스관리'!$D$5:$D$600,$A26,'케이스관리'!$J$5:$J$600,"RED")</f>
        <v/>
      </c>
      <c r="F26" s="23">
        <f>COUNTIFS('케이스관리'!$D$5:$D$600,$A26,'케이스관리'!$J$5:$J$600,"FAIL")</f>
        <v/>
      </c>
      <c r="G26" s="25">
        <f>IF(C26=0,"케이스 없음",D26/C26)</f>
        <v/>
      </c>
    </row>
    <row r="27">
      <c r="A27" s="21" t="inlineStr">
        <is>
          <t>SC-04</t>
        </is>
      </c>
      <c r="B27" s="22" t="inlineStr">
        <is>
          <t>CAVP 신청</t>
        </is>
      </c>
      <c r="C27" s="23">
        <f>COUNTIF('케이스관리'!$D$5:$D$600,A27)</f>
        <v/>
      </c>
      <c r="D27" s="23">
        <f>COUNTIFS('케이스관리'!$D$5:$D$600,$A27,'케이스관리'!$J$5:$J$600,"PASS")</f>
        <v/>
      </c>
      <c r="E27" s="23">
        <f>COUNTIFS('케이스관리'!$D$5:$D$600,$A27,'케이스관리'!$J$5:$J$600,"RED")</f>
        <v/>
      </c>
      <c r="F27" s="23">
        <f>COUNTIFS('케이스관리'!$D$5:$D$600,$A27,'케이스관리'!$J$5:$J$600,"FAIL")</f>
        <v/>
      </c>
      <c r="G27" s="25">
        <f>IF(C27=0,"케이스 없음",D27/C27)</f>
        <v/>
      </c>
    </row>
    <row r="28">
      <c r="A28" s="21" t="inlineStr">
        <is>
          <t>SC-05</t>
        </is>
      </c>
      <c r="B28" s="22" t="inlineStr">
        <is>
          <t>신청 조회</t>
        </is>
      </c>
      <c r="C28" s="23">
        <f>COUNTIF('케이스관리'!$D$5:$D$600,A28)</f>
        <v/>
      </c>
      <c r="D28" s="23">
        <f>COUNTIFS('케이스관리'!$D$5:$D$600,$A28,'케이스관리'!$J$5:$J$600,"PASS")</f>
        <v/>
      </c>
      <c r="E28" s="23">
        <f>COUNTIFS('케이스관리'!$D$5:$D$600,$A28,'케이스관리'!$J$5:$J$600,"RED")</f>
        <v/>
      </c>
      <c r="F28" s="23">
        <f>COUNTIFS('케이스관리'!$D$5:$D$600,$A28,'케이스관리'!$J$5:$J$600,"FAIL")</f>
        <v/>
      </c>
      <c r="G28" s="25">
        <f>IF(C28=0,"케이스 없음",D28/C28)</f>
        <v/>
      </c>
    </row>
    <row r="29">
      <c r="A29" s="21" t="inlineStr">
        <is>
          <t>SC-06</t>
        </is>
      </c>
      <c r="B29" s="22" t="inlineStr">
        <is>
          <t>검증서 이력</t>
        </is>
      </c>
      <c r="C29" s="23">
        <f>COUNTIF('케이스관리'!$D$5:$D$600,A29)</f>
        <v/>
      </c>
      <c r="D29" s="23">
        <f>COUNTIFS('케이스관리'!$D$5:$D$600,$A29,'케이스관리'!$J$5:$J$600,"PASS")</f>
        <v/>
      </c>
      <c r="E29" s="23">
        <f>COUNTIFS('케이스관리'!$D$5:$D$600,$A29,'케이스관리'!$J$5:$J$600,"RED")</f>
        <v/>
      </c>
      <c r="F29" s="23">
        <f>COUNTIFS('케이스관리'!$D$5:$D$600,$A29,'케이스관리'!$J$5:$J$600,"FAIL")</f>
        <v/>
      </c>
      <c r="G29" s="25">
        <f>IF(C29=0,"케이스 없음",D29/C29)</f>
        <v/>
      </c>
    </row>
    <row r="30">
      <c r="A30" s="21" t="inlineStr">
        <is>
          <t>SC-07</t>
        </is>
      </c>
      <c r="B30" s="22" t="inlineStr">
        <is>
          <t>위변조 탐지</t>
        </is>
      </c>
      <c r="C30" s="23">
        <f>COUNTIF('케이스관리'!$D$5:$D$600,A30)</f>
        <v/>
      </c>
      <c r="D30" s="23">
        <f>COUNTIFS('케이스관리'!$D$5:$D$600,$A30,'케이스관리'!$J$5:$J$600,"PASS")</f>
        <v/>
      </c>
      <c r="E30" s="23">
        <f>COUNTIFS('케이스관리'!$D$5:$D$600,$A30,'케이스관리'!$J$5:$J$600,"RED")</f>
        <v/>
      </c>
      <c r="F30" s="23">
        <f>COUNTIFS('케이스관리'!$D$5:$D$600,$A30,'케이스관리'!$J$5:$J$600,"FAIL")</f>
        <v/>
      </c>
      <c r="G30" s="25">
        <f>IF(C30=0,"케이스 없음",D30/C30)</f>
        <v/>
      </c>
    </row>
    <row r="31">
      <c r="A31" s="21" t="inlineStr">
        <is>
          <t>공통</t>
        </is>
      </c>
      <c r="B31" s="22" t="inlineStr">
        <is>
          <t>공통·초기데이터·E2E</t>
        </is>
      </c>
      <c r="C31" s="23">
        <f>COUNTIF('케이스관리'!$D$5:$D$600,A31)</f>
        <v/>
      </c>
      <c r="D31" s="23">
        <f>COUNTIFS('케이스관리'!$D$5:$D$600,$A31,'케이스관리'!$J$5:$J$600,"PASS")</f>
        <v/>
      </c>
      <c r="E31" s="23">
        <f>COUNTIFS('케이스관리'!$D$5:$D$600,$A31,'케이스관리'!$J$5:$J$600,"RED")</f>
        <v/>
      </c>
      <c r="F31" s="23">
        <f>COUNTIFS('케이스관리'!$D$5:$D$600,$A31,'케이스관리'!$J$5:$J$600,"FAIL")</f>
        <v/>
      </c>
      <c r="G31" s="25">
        <f>IF(C31=0,"케이스 없음",D31/C31)</f>
        <v/>
      </c>
    </row>
    <row r="34">
      <c r="A34" s="19" t="inlineStr">
        <is>
          <t>요구사항별 진척</t>
        </is>
      </c>
      <c r="I34" s="19" t="inlineStr">
        <is>
          <t>시험 단계별 진척</t>
        </is>
      </c>
    </row>
    <row r="35">
      <c r="A35" s="20" t="inlineStr">
        <is>
          <t>요구사항</t>
        </is>
      </c>
      <c r="B35" s="20" t="inlineStr">
        <is>
          <t>우선순위</t>
        </is>
      </c>
      <c r="C35" s="20" t="inlineStr">
        <is>
          <t>전체</t>
        </is>
      </c>
      <c r="D35" s="20" t="inlineStr">
        <is>
          <t>통과</t>
        </is>
      </c>
      <c r="E35" s="20" t="inlineStr">
        <is>
          <t>Red</t>
        </is>
      </c>
      <c r="F35" s="20" t="inlineStr">
        <is>
          <t>실패</t>
        </is>
      </c>
      <c r="G35" s="20" t="inlineStr">
        <is>
          <t>진척(통과%)</t>
        </is>
      </c>
      <c r="I35" s="20" t="inlineStr">
        <is>
          <t>단계</t>
        </is>
      </c>
      <c r="J35" s="20" t="inlineStr">
        <is>
          <t>전체</t>
        </is>
      </c>
      <c r="K35" s="20" t="inlineStr">
        <is>
          <t>통과</t>
        </is>
      </c>
      <c r="L35" s="20" t="inlineStr">
        <is>
          <t>Red</t>
        </is>
      </c>
      <c r="M35" s="20" t="inlineStr">
        <is>
          <t>실패</t>
        </is>
      </c>
    </row>
    <row r="36">
      <c r="A36" s="21" t="inlineStr">
        <is>
          <t>FR-01</t>
        </is>
      </c>
      <c r="B36" s="23" t="inlineStr">
        <is>
          <t>Must</t>
        </is>
      </c>
      <c r="C36" s="23">
        <f>COUNTIF('케이스관리'!$C$5:$C$600,A36)</f>
        <v/>
      </c>
      <c r="D36" s="23">
        <f>COUNTIFS('케이스관리'!$C$5:$C$600,$A36,'케이스관리'!$J$5:$J$600,"PASS")</f>
        <v/>
      </c>
      <c r="E36" s="23">
        <f>COUNTIFS('케이스관리'!$C$5:$C$600,$A36,'케이스관리'!$J$5:$J$600,"RED")</f>
        <v/>
      </c>
      <c r="F36" s="23">
        <f>COUNTIFS('케이스관리'!$C$5:$C$600,$A36,'케이스관리'!$J$5:$J$600,"FAIL")</f>
        <v/>
      </c>
      <c r="G36" s="25">
        <f>IF(C36=0,"케이스 없음",D36/C36)</f>
        <v/>
      </c>
      <c r="I36" s="21" t="inlineStr">
        <is>
          <t>시스템</t>
        </is>
      </c>
      <c r="J36" s="23">
        <f>COUNTIF('케이스관리'!$B$5:$B$600,I36)</f>
        <v/>
      </c>
      <c r="K36" s="23">
        <f>COUNTIFS('케이스관리'!$B$5:$B$600,$I36,'케이스관리'!$J$5:$J$600,"PASS")</f>
        <v/>
      </c>
      <c r="L36" s="23">
        <f>COUNTIFS('케이스관리'!$B$5:$B$600,$I36,'케이스관리'!$J$5:$J$600,"RED")</f>
        <v/>
      </c>
      <c r="M36" s="23">
        <f>COUNTIFS('케이스관리'!$B$5:$B$600,$I36,'케이스관리'!$J$5:$J$600,"FAIL")</f>
        <v/>
      </c>
    </row>
    <row r="37">
      <c r="A37" s="21" t="inlineStr">
        <is>
          <t>FR-02</t>
        </is>
      </c>
      <c r="B37" s="23" t="inlineStr">
        <is>
          <t>Must</t>
        </is>
      </c>
      <c r="C37" s="23">
        <f>COUNTIF('케이스관리'!$C$5:$C$600,A37)</f>
        <v/>
      </c>
      <c r="D37" s="23">
        <f>COUNTIFS('케이스관리'!$C$5:$C$600,$A37,'케이스관리'!$J$5:$J$600,"PASS")</f>
        <v/>
      </c>
      <c r="E37" s="23">
        <f>COUNTIFS('케이스관리'!$C$5:$C$600,$A37,'케이스관리'!$J$5:$J$600,"RED")</f>
        <v/>
      </c>
      <c r="F37" s="23">
        <f>COUNTIFS('케이스관리'!$C$5:$C$600,$A37,'케이스관리'!$J$5:$J$600,"FAIL")</f>
        <v/>
      </c>
      <c r="G37" s="25">
        <f>IF(C37=0,"케이스 없음",D37/C37)</f>
        <v/>
      </c>
      <c r="I37" s="21" t="inlineStr">
        <is>
          <t>통합</t>
        </is>
      </c>
      <c r="J37" s="23">
        <f>COUNTIF('케이스관리'!$B$5:$B$600,I37)</f>
        <v/>
      </c>
      <c r="K37" s="23">
        <f>COUNTIFS('케이스관리'!$B$5:$B$600,$I37,'케이스관리'!$J$5:$J$600,"PASS")</f>
        <v/>
      </c>
      <c r="L37" s="23">
        <f>COUNTIFS('케이스관리'!$B$5:$B$600,$I37,'케이스관리'!$J$5:$J$600,"RED")</f>
        <v/>
      </c>
      <c r="M37" s="23">
        <f>COUNTIFS('케이스관리'!$B$5:$B$600,$I37,'케이스관리'!$J$5:$J$600,"FAIL")</f>
        <v/>
      </c>
    </row>
    <row r="38">
      <c r="A38" s="21" t="inlineStr">
        <is>
          <t>FR-03</t>
        </is>
      </c>
      <c r="B38" s="23" t="inlineStr">
        <is>
          <t>Must</t>
        </is>
      </c>
      <c r="C38" s="23">
        <f>COUNTIF('케이스관리'!$C$5:$C$600,A38)</f>
        <v/>
      </c>
      <c r="D38" s="23">
        <f>COUNTIFS('케이스관리'!$C$5:$C$600,$A38,'케이스관리'!$J$5:$J$600,"PASS")</f>
        <v/>
      </c>
      <c r="E38" s="23">
        <f>COUNTIFS('케이스관리'!$C$5:$C$600,$A38,'케이스관리'!$J$5:$J$600,"RED")</f>
        <v/>
      </c>
      <c r="F38" s="23">
        <f>COUNTIFS('케이스관리'!$C$5:$C$600,$A38,'케이스관리'!$J$5:$J$600,"FAIL")</f>
        <v/>
      </c>
      <c r="G38" s="25">
        <f>IF(C38=0,"케이스 없음",D38/C38)</f>
        <v/>
      </c>
      <c r="I38" s="21" t="inlineStr">
        <is>
          <t>단위</t>
        </is>
      </c>
      <c r="J38" s="23">
        <f>COUNTIF('케이스관리'!$B$5:$B$600,I38)</f>
        <v/>
      </c>
      <c r="K38" s="23">
        <f>COUNTIFS('케이스관리'!$B$5:$B$600,$I38,'케이스관리'!$J$5:$J$600,"PASS")</f>
        <v/>
      </c>
      <c r="L38" s="23">
        <f>COUNTIFS('케이스관리'!$B$5:$B$600,$I38,'케이스관리'!$J$5:$J$600,"RED")</f>
        <v/>
      </c>
      <c r="M38" s="23">
        <f>COUNTIFS('케이스관리'!$B$5:$B$600,$I38,'케이스관리'!$J$5:$J$600,"FAIL")</f>
        <v/>
      </c>
    </row>
    <row r="39">
      <c r="A39" s="21" t="inlineStr">
        <is>
          <t>FR-04</t>
        </is>
      </c>
      <c r="B39" s="23" t="inlineStr">
        <is>
          <t>Should</t>
        </is>
      </c>
      <c r="C39" s="23">
        <f>COUNTIF('케이스관리'!$C$5:$C$600,A39)</f>
        <v/>
      </c>
      <c r="D39" s="23">
        <f>COUNTIFS('케이스관리'!$C$5:$C$600,$A39,'케이스관리'!$J$5:$J$600,"PASS")</f>
        <v/>
      </c>
      <c r="E39" s="23">
        <f>COUNTIFS('케이스관리'!$C$5:$C$600,$A39,'케이스관리'!$J$5:$J$600,"RED")</f>
        <v/>
      </c>
      <c r="F39" s="23">
        <f>COUNTIFS('케이스관리'!$C$5:$C$600,$A39,'케이스관리'!$J$5:$J$600,"FAIL")</f>
        <v/>
      </c>
      <c r="G39" s="25">
        <f>IF(C39=0,"케이스 없음",D39/C39)</f>
        <v/>
      </c>
    </row>
    <row r="40">
      <c r="A40" s="21" t="inlineStr">
        <is>
          <t>FR-05</t>
        </is>
      </c>
      <c r="B40" s="23" t="inlineStr">
        <is>
          <t>Should</t>
        </is>
      </c>
      <c r="C40" s="23">
        <f>COUNTIF('케이스관리'!$C$5:$C$600,A40)</f>
        <v/>
      </c>
      <c r="D40" s="23">
        <f>COUNTIFS('케이스관리'!$C$5:$C$600,$A40,'케이스관리'!$J$5:$J$600,"PASS")</f>
        <v/>
      </c>
      <c r="E40" s="23">
        <f>COUNTIFS('케이스관리'!$C$5:$C$600,$A40,'케이스관리'!$J$5:$J$600,"RED")</f>
        <v/>
      </c>
      <c r="F40" s="23">
        <f>COUNTIFS('케이스관리'!$C$5:$C$600,$A40,'케이스관리'!$J$5:$J$600,"FAIL")</f>
        <v/>
      </c>
      <c r="G40" s="25">
        <f>IF(C40=0,"케이스 없음",D40/C40)</f>
        <v/>
      </c>
    </row>
    <row r="41">
      <c r="A41" s="21" t="inlineStr">
        <is>
          <t>FR-14</t>
        </is>
      </c>
      <c r="B41" s="23" t="inlineStr">
        <is>
          <t>Should</t>
        </is>
      </c>
      <c r="C41" s="23">
        <f>COUNTIF('케이스관리'!$C$5:$C$600,A41)</f>
        <v/>
      </c>
      <c r="D41" s="23">
        <f>COUNTIFS('케이스관리'!$C$5:$C$600,$A41,'케이스관리'!$J$5:$J$600,"PASS")</f>
        <v/>
      </c>
      <c r="E41" s="23">
        <f>COUNTIFS('케이스관리'!$C$5:$C$600,$A41,'케이스관리'!$J$5:$J$600,"RED")</f>
        <v/>
      </c>
      <c r="F41" s="23">
        <f>COUNTIFS('케이스관리'!$C$5:$C$600,$A41,'케이스관리'!$J$5:$J$600,"FAIL")</f>
        <v/>
      </c>
      <c r="G41" s="25">
        <f>IF(C41=0,"케이스 없음",D41/C41)</f>
        <v/>
      </c>
    </row>
    <row r="44">
      <c r="A44" s="19" t="inlineStr">
        <is>
          <t>진척 추이 (실행할 때마다 갱신)</t>
        </is>
      </c>
    </row>
  </sheetData>
  <mergeCells count="10">
    <mergeCell ref="E6:F6"/>
    <mergeCell ref="C6:D6"/>
    <mergeCell ref="I6:J6"/>
    <mergeCell ref="C5:D5"/>
    <mergeCell ref="A5:B5"/>
    <mergeCell ref="G5:H5"/>
    <mergeCell ref="E5:F5"/>
    <mergeCell ref="I5:J5"/>
    <mergeCell ref="G6:H6"/>
    <mergeCell ref="A6:B6"/>
  </mergeCells>
  <conditionalFormatting sqref="A10:A14">
    <cfRule type="cellIs" priority="1" operator="equal" dxfId="0">
      <formula>"PASS"</formula>
    </cfRule>
    <cfRule type="cellIs" priority="2" operator="equal" dxfId="1">
      <formula>"RED"</formula>
    </cfRule>
    <cfRule type="cellIs" priority="3" operator="equal" dxfId="2">
      <formula>"FAIL"</formula>
    </cfRule>
    <cfRule type="cellIs" priority="4" operator="equal" dxfId="3">
      <formula>"SKIP"</formula>
    </cfRule>
    <cfRule type="cellIs" priority="5" operator="equal" dxfId="4">
      <formula>"미실행"</formula>
    </cfRule>
  </conditionalFormatting>
  <conditionalFormatting sqref="G24:G31">
    <cfRule type="dataBar" priority="6">
      <dataBar>
        <cfvo type="num" val="0"/>
        <cfvo type="num" val="1"/>
        <color rgb="0066BB6A"/>
      </dataBar>
    </cfRule>
  </conditionalFormatting>
  <conditionalFormatting sqref="G36:G41">
    <cfRule type="dataBar" priority="7">
      <dataBar>
        <cfvo type="num" val="0"/>
        <cfvo type="num" val="1"/>
        <color rgb="0066BB6A"/>
      </dataBar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FFC107"/>
    <outlinePr summaryBelow="1" summaryRight="1"/>
    <pageSetUpPr fitToPage="1"/>
  </sheetPr>
  <dimension ref="A1:J20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7" customWidth="1" min="2" max="2"/>
    <col width="9" customWidth="1" min="3" max="3"/>
    <col width="9" customWidth="1" min="4" max="4"/>
    <col width="9" customWidth="1" min="5" max="5"/>
    <col width="46" customWidth="1" min="6" max="6"/>
    <col width="52" customWidth="1" min="7" max="7"/>
    <col width="10" customWidth="1" min="8" max="8"/>
    <col width="28" customWidth="1" min="9" max="9"/>
    <col width="11" customWidth="1" min="10" max="10"/>
  </cols>
  <sheetData>
    <row r="1">
      <c r="A1" s="1" t="inlineStr">
        <is>
          <t>시험 케이스 관리</t>
        </is>
      </c>
    </row>
    <row r="2">
      <c r="A2" s="2" t="inlineStr">
        <is>
          <t>노란색 칸(화면·우선순위·비고)만 직접 수정하세요. 나머지는 테스트 코드(@case)에서 자동 동기화되며, 수정 내용은 갱신해도 유지됩니다. 예: 화면=SC-01, 우선순위=Must</t>
        </is>
      </c>
    </row>
    <row r="3">
      <c r="A3" s="26" t="inlineStr">
        <is>
          <t>※ '현재 상태'는 '케이스별결과' 시트에서 자동 계산 — PASS 통과 · RED 구현 전(기대된 실패) · FAIL 실패(병합 차단) · SKIP 건너뜀 · 미실행</t>
        </is>
      </c>
    </row>
    <row r="4">
      <c r="A4" s="20" t="inlineStr">
        <is>
          <t>케이스 ID</t>
        </is>
      </c>
      <c r="B4" s="20" t="inlineStr">
        <is>
          <t>구분</t>
        </is>
      </c>
      <c r="C4" s="20" t="inlineStr">
        <is>
          <t>요구사항</t>
        </is>
      </c>
      <c r="D4" s="20" t="inlineStr">
        <is>
          <t>화면</t>
        </is>
      </c>
      <c r="E4" s="20" t="inlineStr">
        <is>
          <t>시험 유형</t>
        </is>
      </c>
      <c r="F4" s="20" t="inlineStr">
        <is>
          <t>시험 항목</t>
        </is>
      </c>
      <c r="G4" s="20" t="inlineStr">
        <is>
          <t>기대결과</t>
        </is>
      </c>
      <c r="H4" s="20" t="inlineStr">
        <is>
          <t>우선순위</t>
        </is>
      </c>
      <c r="I4" s="20" t="inlineStr">
        <is>
          <t>비고</t>
        </is>
      </c>
      <c r="J4" s="20" t="inlineStr">
        <is>
          <t>현재 상태</t>
        </is>
      </c>
    </row>
    <row r="5">
      <c r="A5" s="27" t="inlineStr">
        <is>
          <t>ST-01</t>
        </is>
      </c>
      <c r="B5" s="27" t="inlineStr">
        <is>
          <t>시스템</t>
        </is>
      </c>
      <c r="C5" s="27" t="inlineStr">
        <is>
          <t>FR-01</t>
        </is>
      </c>
      <c r="D5" s="28" t="inlineStr">
        <is>
          <t>SC-01</t>
        </is>
      </c>
      <c r="E5" s="27" t="inlineStr">
        <is>
          <t>정상</t>
        </is>
      </c>
      <c r="F5" s="29" t="inlineStr">
        <is>
          <t>브라우저 E2E: 가입 → 로그인 → 환영 화면 → 로그아웃</t>
        </is>
      </c>
      <c r="G5" s="29" t="inlineStr">
        <is>
          <t>가입 완료 메시지 후 로그인하면 /dashboard 에 사용자명 표시, 로그아웃하면 로그인 화면 복귀</t>
        </is>
      </c>
      <c r="H5" s="28" t="inlineStr">
        <is>
          <t>Must</t>
        </is>
      </c>
      <c r="I5" s="30" t="n"/>
      <c r="J5" s="31">
        <f>IFERROR(INDEX('케이스별결과'!$B$4:$B$600,MATCH($A5,'케이스별결과'!$A$4:$A$600,0)),"미실행")</f>
        <v/>
      </c>
    </row>
    <row r="6">
      <c r="A6" s="27" t="inlineStr">
        <is>
          <t>ST-01-N1</t>
        </is>
      </c>
      <c r="B6" s="27" t="inlineStr">
        <is>
          <t>시스템</t>
        </is>
      </c>
      <c r="C6" s="27" t="inlineStr">
        <is>
          <t>FR-01</t>
        </is>
      </c>
      <c r="D6" s="28" t="inlineStr">
        <is>
          <t>SC-01</t>
        </is>
      </c>
      <c r="E6" s="27" t="inlineStr">
        <is>
          <t>비정상</t>
        </is>
      </c>
      <c r="F6" s="29" t="inlineStr">
        <is>
          <t>브라우저 E2E: 잘못된 비밀번호/약한 비밀번호/불일치 확인</t>
        </is>
      </c>
      <c r="G6" s="29" t="inlineStr">
        <is>
          <t>각각 오류 문구가 표시되고 화면 이동 없음</t>
        </is>
      </c>
      <c r="H6" s="28" t="inlineStr">
        <is>
          <t>Must</t>
        </is>
      </c>
      <c r="I6" s="30" t="n"/>
      <c r="J6" s="31">
        <f>IFERROR(INDEX('케이스별결과'!$B$4:$B$600,MATCH($A6,'케이스별결과'!$A$4:$A$600,0)),"미실행")</f>
        <v/>
      </c>
    </row>
    <row r="7">
      <c r="A7" s="27" t="inlineStr">
        <is>
          <t>ST-01-N2</t>
        </is>
      </c>
      <c r="B7" s="27" t="inlineStr">
        <is>
          <t>시스템</t>
        </is>
      </c>
      <c r="C7" s="27" t="inlineStr">
        <is>
          <t>FR-01</t>
        </is>
      </c>
      <c r="D7" s="28" t="inlineStr">
        <is>
          <t>SC-01</t>
        </is>
      </c>
      <c r="E7" s="27" t="inlineStr">
        <is>
          <t>보안</t>
        </is>
      </c>
      <c r="F7" s="29" t="inlineStr">
        <is>
          <t>브라우저 E2E: 비로그인으로 /dashboard 접근, 유형 탭 불일치 로그인</t>
        </is>
      </c>
      <c r="G7" s="29" t="inlineStr">
        <is>
          <t>로그인 화면으로 리다이렉트 / 유형 불일치 오류 표시</t>
        </is>
      </c>
      <c r="H7" s="28" t="inlineStr">
        <is>
          <t>Must</t>
        </is>
      </c>
      <c r="I7" s="30" t="n"/>
      <c r="J7" s="31">
        <f>IFERROR(INDEX('케이스별결과'!$B$4:$B$600,MATCH($A7,'케이스별결과'!$A$4:$A$600,0)),"미실행")</f>
        <v/>
      </c>
    </row>
    <row r="8">
      <c r="A8" s="27" t="inlineStr">
        <is>
          <t>ST-02</t>
        </is>
      </c>
      <c r="B8" s="27" t="inlineStr">
        <is>
          <t>시스템</t>
        </is>
      </c>
      <c r="C8" s="27" t="inlineStr">
        <is>
          <t>FR-03</t>
        </is>
      </c>
      <c r="D8" s="28" t="inlineStr">
        <is>
          <t>SC-02</t>
        </is>
      </c>
      <c r="E8" s="27" t="inlineStr">
        <is>
          <t>정상</t>
        </is>
      </c>
      <c r="F8" s="29" t="inlineStr">
        <is>
          <t>브라우저 E2E: 대시보드 KPI·최근 신청·알림 표시</t>
        </is>
      </c>
      <c r="G8" s="29" t="inlineStr">
        <is>
          <t>로그인 후 인사말, KPI 4종 수치, 최근 신청 행과 상태 배지, 알림 문구 표시</t>
        </is>
      </c>
      <c r="H8" s="28" t="inlineStr">
        <is>
          <t>Must</t>
        </is>
      </c>
      <c r="I8" s="30" t="n"/>
      <c r="J8" s="31">
        <f>IFERROR(INDEX('케이스별결과'!$B$4:$B$600,MATCH($A8,'케이스별결과'!$A$4:$A$600,0)),"미실행")</f>
        <v/>
      </c>
    </row>
    <row r="9">
      <c r="A9" s="27" t="inlineStr">
        <is>
          <t>ST-02-N1</t>
        </is>
      </c>
      <c r="B9" s="27" t="inlineStr">
        <is>
          <t>시스템</t>
        </is>
      </c>
      <c r="C9" s="27" t="inlineStr">
        <is>
          <t>FR-03</t>
        </is>
      </c>
      <c r="D9" s="28" t="inlineStr">
        <is>
          <t>SC-02</t>
        </is>
      </c>
      <c r="E9" s="27" t="inlineStr">
        <is>
          <t>비정상</t>
        </is>
      </c>
      <c r="F9" s="29" t="inlineStr">
        <is>
          <t>브라우저 E2E: 신규 사용자(데이터 없음) 빈 상태</t>
        </is>
      </c>
      <c r="G9" s="29" t="inlineStr">
        <is>
          <t>KPI 모두 0, '아직 신청 내역이 없습니다' 안내 표시</t>
        </is>
      </c>
      <c r="H9" s="28" t="inlineStr">
        <is>
          <t>Must</t>
        </is>
      </c>
      <c r="I9" s="30" t="n"/>
      <c r="J9" s="31">
        <f>IFERROR(INDEX('케이스별결과'!$B$4:$B$600,MATCH($A9,'케이스별결과'!$A$4:$A$600,0)),"미실행")</f>
        <v/>
      </c>
    </row>
    <row r="10">
      <c r="A10" s="27" t="inlineStr">
        <is>
          <t>ST-02-N2</t>
        </is>
      </c>
      <c r="B10" s="27" t="inlineStr">
        <is>
          <t>시스템</t>
        </is>
      </c>
      <c r="C10" s="27" t="inlineStr">
        <is>
          <t>FR-03</t>
        </is>
      </c>
      <c r="D10" s="28" t="inlineStr">
        <is>
          <t>SC-02</t>
        </is>
      </c>
      <c r="E10" s="27" t="inlineStr">
        <is>
          <t>보안</t>
        </is>
      </c>
      <c r="F10" s="29" t="inlineStr">
        <is>
          <t>브라우저 E2E: 위변조 의심 검증서 강조</t>
        </is>
      </c>
      <c r="G10" s="29" t="inlineStr">
        <is>
          <t>위변조 의심 KPI 가 1, 경고 알림과 검증서 번호(CV-)가 표시되고 경고 스타일 적용</t>
        </is>
      </c>
      <c r="H10" s="28" t="inlineStr">
        <is>
          <t>Must</t>
        </is>
      </c>
      <c r="I10" s="30" t="n"/>
      <c r="J10" s="31">
        <f>IFERROR(INDEX('케이스별결과'!$B$4:$B$600,MATCH($A10,'케이스별결과'!$A$4:$A$600,0)),"미실행")</f>
        <v/>
      </c>
    </row>
    <row r="11">
      <c r="A11" s="27" t="inlineStr">
        <is>
          <t>ST-02-N3</t>
        </is>
      </c>
      <c r="B11" s="27" t="inlineStr">
        <is>
          <t>시스템</t>
        </is>
      </c>
      <c r="C11" s="27" t="inlineStr">
        <is>
          <t>FR-03</t>
        </is>
      </c>
      <c r="D11" s="28" t="inlineStr">
        <is>
          <t>SC-02</t>
        </is>
      </c>
      <c r="E11" s="27" t="inlineStr">
        <is>
          <t>보안</t>
        </is>
      </c>
      <c r="F11" s="29" t="inlineStr">
        <is>
          <t>브라우저 E2E: 대시보드에서 로그아웃</t>
        </is>
      </c>
      <c r="G11" s="29" t="inlineStr">
        <is>
          <t>로그아웃 후 로그인 화면 복귀, 뒤로가기/재접근 시 대시보드 접근 불가</t>
        </is>
      </c>
      <c r="H11" s="28" t="inlineStr">
        <is>
          <t>Must</t>
        </is>
      </c>
      <c r="I11" s="30" t="n"/>
      <c r="J11" s="31">
        <f>IFERROR(INDEX('케이스별결과'!$B$4:$B$600,MATCH($A11,'케이스별결과'!$A$4:$A$600,0)),"미실행")</f>
        <v/>
      </c>
    </row>
    <row r="12">
      <c r="A12" s="27" t="inlineStr">
        <is>
          <t>ST-04</t>
        </is>
      </c>
      <c r="B12" s="27" t="inlineStr">
        <is>
          <t>시스템</t>
        </is>
      </c>
      <c r="C12" s="27" t="inlineStr">
        <is>
          <t>FR-03</t>
        </is>
      </c>
      <c r="D12" s="28" t="inlineStr">
        <is>
          <t>SC-04</t>
        </is>
      </c>
      <c r="E12" s="27" t="inlineStr">
        <is>
          <t>정상</t>
        </is>
      </c>
      <c r="F12" s="29" t="inlineStr">
        <is>
          <t>브라우저 E2E: 알고리즘을 골라 신청하면 성공 안내와 함께 내 신청 목록에 나타남</t>
        </is>
      </c>
      <c r="G12" s="29" t="inlineStr">
        <is>
          <t>성공 메시지 표시, 목록에 알고리즘·'접수 대기' 배지 행 1건, 화면 이동 없음</t>
        </is>
      </c>
      <c r="H12" s="28" t="inlineStr">
        <is>
          <t>Must</t>
        </is>
      </c>
      <c r="I12" s="30" t="n"/>
      <c r="J12" s="31">
        <f>IFERROR(INDEX('케이스별결과'!$B$4:$B$600,MATCH($A12,'케이스별결과'!$A$4:$A$600,0)),"미실행")</f>
        <v/>
      </c>
    </row>
    <row r="13">
      <c r="A13" s="27" t="inlineStr">
        <is>
          <t>ST-04-N1</t>
        </is>
      </c>
      <c r="B13" s="27" t="inlineStr">
        <is>
          <t>시스템</t>
        </is>
      </c>
      <c r="C13" s="27" t="inlineStr">
        <is>
          <t>FR-03</t>
        </is>
      </c>
      <c r="D13" s="28" t="inlineStr">
        <is>
          <t>SC-04</t>
        </is>
      </c>
      <c r="E13" s="27" t="inlineStr">
        <is>
          <t>비정상</t>
        </is>
      </c>
      <c r="F13" s="29" t="inlineStr">
        <is>
          <t>브라우저 E2E: 같은 알고리즘을 진행 중에 다시 신청</t>
        </is>
      </c>
      <c r="G13" s="29" t="inlineStr">
        <is>
          <t>오류 안내 표시, 목록은 1건 그대로</t>
        </is>
      </c>
      <c r="H13" s="28" t="inlineStr">
        <is>
          <t>Must</t>
        </is>
      </c>
      <c r="I13" s="30" t="n"/>
      <c r="J13" s="31">
        <f>IFERROR(INDEX('케이스별결과'!$B$4:$B$600,MATCH($A13,'케이스별결과'!$A$4:$A$600,0)),"미실행")</f>
        <v/>
      </c>
    </row>
    <row r="14">
      <c r="A14" s="27" t="inlineStr">
        <is>
          <t>ST-04-N2</t>
        </is>
      </c>
      <c r="B14" s="27" t="inlineStr">
        <is>
          <t>시스템</t>
        </is>
      </c>
      <c r="C14" s="27" t="inlineStr">
        <is>
          <t>FR-03</t>
        </is>
      </c>
      <c r="D14" s="28" t="inlineStr">
        <is>
          <t>SC-04</t>
        </is>
      </c>
      <c r="E14" s="27" t="inlineStr">
        <is>
          <t>비정상</t>
        </is>
      </c>
      <c r="F14" s="29" t="inlineStr">
        <is>
          <t>브라우저 E2E: 알고리즘을 고르지 않고 신청</t>
        </is>
      </c>
      <c r="G14" s="29" t="inlineStr">
        <is>
          <t>서버에 요청하지 않고 선택 안내 표시, 목록 변화 없음</t>
        </is>
      </c>
      <c r="H14" s="28" t="inlineStr">
        <is>
          <t>Must</t>
        </is>
      </c>
      <c r="I14" s="30" t="n"/>
      <c r="J14" s="31">
        <f>IFERROR(INDEX('케이스별결과'!$B$4:$B$600,MATCH($A14,'케이스별결과'!$A$4:$A$600,0)),"미실행")</f>
        <v/>
      </c>
    </row>
    <row r="15">
      <c r="A15" s="27" t="inlineStr">
        <is>
          <t>ST-04-N3</t>
        </is>
      </c>
      <c r="B15" s="27" t="inlineStr">
        <is>
          <t>시스템</t>
        </is>
      </c>
      <c r="C15" s="27" t="inlineStr">
        <is>
          <t>FR-03</t>
        </is>
      </c>
      <c r="D15" s="28" t="inlineStr">
        <is>
          <t>SC-04</t>
        </is>
      </c>
      <c r="E15" s="27" t="inlineStr">
        <is>
          <t>정상</t>
        </is>
      </c>
      <c r="F15" s="29" t="inlineStr">
        <is>
          <t>브라우저 E2E: 대시보드 → 신청 화면 → 신청 → 대시보드 최근 신청 반영</t>
        </is>
      </c>
      <c r="G15" s="29" t="inlineStr">
        <is>
          <t>'+ CAVP 시험 신청' 클릭으로 이동, 신청 후 대시보드 최근 신청·진행중 KPI 에 반영</t>
        </is>
      </c>
      <c r="H15" s="28" t="inlineStr">
        <is>
          <t>Must</t>
        </is>
      </c>
      <c r="I15" s="30" t="n"/>
      <c r="J15" s="31">
        <f>IFERROR(INDEX('케이스별결과'!$B$4:$B$600,MATCH($A15,'케이스별결과'!$A$4:$A$600,0)),"미실행")</f>
        <v/>
      </c>
    </row>
    <row r="16">
      <c r="A16" s="27" t="inlineStr">
        <is>
          <t>ST-04-N4</t>
        </is>
      </c>
      <c r="B16" s="27" t="inlineStr">
        <is>
          <t>시스템</t>
        </is>
      </c>
      <c r="C16" s="27" t="inlineStr">
        <is>
          <t>FR-03</t>
        </is>
      </c>
      <c r="D16" s="28" t="inlineStr">
        <is>
          <t>SC-04</t>
        </is>
      </c>
      <c r="E16" s="27" t="inlineStr">
        <is>
          <t>보안</t>
        </is>
      </c>
      <c r="F16" s="29" t="inlineStr">
        <is>
          <t>브라우저 E2E: 로그인하지 않고 신청 화면에 접근</t>
        </is>
      </c>
      <c r="G16" s="29" t="inlineStr">
        <is>
          <t>로그인 화면으로 이동</t>
        </is>
      </c>
      <c r="H16" s="28" t="inlineStr">
        <is>
          <t>Must</t>
        </is>
      </c>
      <c r="I16" s="30" t="n"/>
      <c r="J16" s="31">
        <f>IFERROR(INDEX('케이스별결과'!$B$4:$B$600,MATCH($A16,'케이스별결과'!$A$4:$A$600,0)),"미실행")</f>
        <v/>
      </c>
    </row>
    <row r="17">
      <c r="A17" s="27" t="inlineStr">
        <is>
          <t>ST-05</t>
        </is>
      </c>
      <c r="B17" s="27" t="inlineStr">
        <is>
          <t>시스템</t>
        </is>
      </c>
      <c r="C17" s="27" t="inlineStr">
        <is>
          <t>FR-03</t>
        </is>
      </c>
      <c r="D17" s="28" t="inlineStr">
        <is>
          <t>SC-04</t>
        </is>
      </c>
      <c r="E17" s="27" t="inlineStr">
        <is>
          <t>정상</t>
        </is>
      </c>
      <c r="F17" s="29" t="inlineStr">
        <is>
          <t>브라우저 E2E: 내 신청 목록에 상태 배지가 보이고 상태 필터로 좁혀짐</t>
        </is>
      </c>
      <c r="G17" s="29" t="inlineStr">
        <is>
          <t>3건 표시, 필터 '시험 완료' 선택 시 1건, '전체'로 돌아오면 3건</t>
        </is>
      </c>
      <c r="H17" s="28" t="inlineStr">
        <is>
          <t>Must</t>
        </is>
      </c>
      <c r="I17" s="30" t="n"/>
      <c r="J17" s="31">
        <f>IFERROR(INDEX('케이스별결과'!$B$4:$B$600,MATCH($A17,'케이스별결과'!$A$4:$A$600,0)),"미실행")</f>
        <v/>
      </c>
    </row>
    <row r="18">
      <c r="A18" s="27" t="inlineStr">
        <is>
          <t>ST-05-N1</t>
        </is>
      </c>
      <c r="B18" s="27" t="inlineStr">
        <is>
          <t>시스템</t>
        </is>
      </c>
      <c r="C18" s="27" t="inlineStr">
        <is>
          <t>FR-03</t>
        </is>
      </c>
      <c r="D18" s="28" t="inlineStr">
        <is>
          <t>SC-04</t>
        </is>
      </c>
      <c r="E18" s="27" t="inlineStr">
        <is>
          <t>정상</t>
        </is>
      </c>
      <c r="F18" s="29" t="inlineStr">
        <is>
          <t>브라우저 E2E: 신청 행을 누르면 진행 단계 상세가 표시</t>
        </is>
      </c>
      <c r="G18" s="29" t="inlineStr">
        <is>
          <t>현재 단계가 강조되고, 일반 사용자에게는 심사 버튼이 없음</t>
        </is>
      </c>
      <c r="H18" s="28" t="inlineStr">
        <is>
          <t>Must</t>
        </is>
      </c>
      <c r="I18" s="30" t="n"/>
      <c r="J18" s="31">
        <f>IFERROR(INDEX('케이스별결과'!$B$4:$B$600,MATCH($A18,'케이스별결과'!$A$4:$A$600,0)),"미실행")</f>
        <v/>
      </c>
    </row>
    <row r="19">
      <c r="A19" s="27" t="inlineStr">
        <is>
          <t>ST-05-N2</t>
        </is>
      </c>
      <c r="B19" s="27" t="inlineStr">
        <is>
          <t>시스템</t>
        </is>
      </c>
      <c r="C19" s="27" t="inlineStr">
        <is>
          <t>FR-03</t>
        </is>
      </c>
      <c r="D19" s="28" t="inlineStr">
        <is>
          <t>SC-04</t>
        </is>
      </c>
      <c r="E19" s="27" t="inlineStr">
        <is>
          <t>경계</t>
        </is>
      </c>
      <c r="F19" s="29" t="inlineStr">
        <is>
          <t>브라우저 E2E: 신청이 많으면 페이지로 나뉘어 이동</t>
        </is>
      </c>
      <c r="G19" s="29" t="inlineStr">
        <is>
          <t>12건 중 1페이지 10건, 다음 누르면 2건, 이전 누르면 10건</t>
        </is>
      </c>
      <c r="H19" s="28" t="inlineStr">
        <is>
          <t>Must</t>
        </is>
      </c>
      <c r="I19" s="30" t="n"/>
      <c r="J19" s="31">
        <f>IFERROR(INDEX('케이스별결과'!$B$4:$B$600,MATCH($A19,'케이스별결과'!$A$4:$A$600,0)),"미실행")</f>
        <v/>
      </c>
    </row>
    <row r="20">
      <c r="A20" s="27" t="inlineStr">
        <is>
          <t>ST-05-N3</t>
        </is>
      </c>
      <c r="B20" s="27" t="inlineStr">
        <is>
          <t>시스템</t>
        </is>
      </c>
      <c r="C20" s="27" t="inlineStr">
        <is>
          <t>FR-03</t>
        </is>
      </c>
      <c r="D20" s="28" t="inlineStr">
        <is>
          <t>SC-04</t>
        </is>
      </c>
      <c r="E20" s="27" t="inlineStr">
        <is>
          <t>정상</t>
        </is>
      </c>
      <c r="F20" s="29" t="inlineStr">
        <is>
          <t>브라우저 E2E: 기관 사용자가 신청을 심사 시작 → 승인</t>
        </is>
      </c>
      <c r="G20" s="29" t="inlineStr">
        <is>
          <t>타인 신청이 보이고, 심사 시작 후 '시험 진행중', 승인 후 '시험 완료'이며 버튼이 사라짐</t>
        </is>
      </c>
      <c r="H20" s="28" t="inlineStr">
        <is>
          <t>Must</t>
        </is>
      </c>
      <c r="I20" s="30" t="n"/>
      <c r="J20" s="31">
        <f>IFERROR(INDEX('케이스별결과'!$B$4:$B$600,MATCH($A20,'케이스별결과'!$A$4:$A$600,0)),"미실행")</f>
        <v/>
      </c>
    </row>
    <row r="21">
      <c r="A21" s="27" t="inlineStr">
        <is>
          <t>ST-05-N4</t>
        </is>
      </c>
      <c r="B21" s="27" t="inlineStr">
        <is>
          <t>시스템</t>
        </is>
      </c>
      <c r="C21" s="27" t="inlineStr">
        <is>
          <t>FR-03</t>
        </is>
      </c>
      <c r="D21" s="28" t="inlineStr">
        <is>
          <t>SC-04</t>
        </is>
      </c>
      <c r="E21" s="27" t="inlineStr">
        <is>
          <t>비정상</t>
        </is>
      </c>
      <c r="F21" s="29" t="inlineStr">
        <is>
          <t>브라우저 E2E: 기관 사용자가 반려 처리</t>
        </is>
      </c>
      <c r="G21" s="29" t="inlineStr">
        <is>
          <t>심사 시작 후 반려하면 '반려'로 표시되고 버튼이 사라짐</t>
        </is>
      </c>
      <c r="H21" s="28" t="inlineStr">
        <is>
          <t>Must</t>
        </is>
      </c>
      <c r="I21" s="30" t="n"/>
      <c r="J21" s="31">
        <f>IFERROR(INDEX('케이스별결과'!$B$4:$B$600,MATCH($A21,'케이스별결과'!$A$4:$A$600,0)),"미실행")</f>
        <v/>
      </c>
    </row>
    <row r="22">
      <c r="A22" s="27" t="inlineStr">
        <is>
          <t>ST-05-N5</t>
        </is>
      </c>
      <c r="B22" s="27" t="inlineStr">
        <is>
          <t>시스템</t>
        </is>
      </c>
      <c r="C22" s="27" t="inlineStr">
        <is>
          <t>FR-03</t>
        </is>
      </c>
      <c r="D22" s="28" t="inlineStr">
        <is>
          <t>SC-04</t>
        </is>
      </c>
      <c r="E22" s="27" t="inlineStr">
        <is>
          <t>비정상</t>
        </is>
      </c>
      <c r="F22" s="29" t="inlineStr">
        <is>
          <t>브라우저 E2E: 신청이 없을 때 빈 상태와 로그인 없이 접근</t>
        </is>
      </c>
      <c r="G22" s="29" t="inlineStr">
        <is>
          <t>빈 안내 표시 / 비로그인은 로그인 화면으로 이동</t>
        </is>
      </c>
      <c r="H22" s="28" t="inlineStr">
        <is>
          <t>Must</t>
        </is>
      </c>
      <c r="I22" s="30" t="n"/>
      <c r="J22" s="31">
        <f>IFERROR(INDEX('케이스별결과'!$B$4:$B$600,MATCH($A22,'케이스별결과'!$A$4:$A$600,0)),"미실행")</f>
        <v/>
      </c>
    </row>
    <row r="23">
      <c r="A23" s="27" t="inlineStr">
        <is>
          <t>IT-01</t>
        </is>
      </c>
      <c r="B23" s="27" t="inlineStr">
        <is>
          <t>통합</t>
        </is>
      </c>
      <c r="C23" s="27" t="inlineStr">
        <is>
          <t>FR-01</t>
        </is>
      </c>
      <c r="D23" s="28" t="inlineStr">
        <is>
          <t>SC-01</t>
        </is>
      </c>
      <c r="E23" s="27" t="inlineStr">
        <is>
          <t>정상</t>
        </is>
      </c>
      <c r="F23" s="29" t="inlineStr">
        <is>
          <t>POST /api/auth/signup: 동일 아이디 2회 요청</t>
        </is>
      </c>
      <c r="G23" s="29" t="inlineStr">
        <is>
          <t>1차 201, 2차 409(DUPLICATE_USERNAME), users 1건</t>
        </is>
      </c>
      <c r="H23" s="28" t="inlineStr">
        <is>
          <t>Must</t>
        </is>
      </c>
      <c r="I23" s="30" t="n"/>
      <c r="J23" s="31">
        <f>IFERROR(INDEX('케이스별결과'!$B$4:$B$600,MATCH($A23,'케이스별결과'!$A$4:$A$600,0)),"미실행")</f>
        <v/>
      </c>
    </row>
    <row r="24">
      <c r="A24" s="27" t="inlineStr">
        <is>
          <t>IT-02</t>
        </is>
      </c>
      <c r="B24" s="27" t="inlineStr">
        <is>
          <t>통합</t>
        </is>
      </c>
      <c r="C24" s="27" t="inlineStr">
        <is>
          <t>FR-01</t>
        </is>
      </c>
      <c r="D24" s="28" t="inlineStr">
        <is>
          <t>SC-01</t>
        </is>
      </c>
      <c r="E24" s="27" t="inlineStr">
        <is>
          <t>정상</t>
        </is>
      </c>
      <c r="F24" s="29" t="inlineStr">
        <is>
          <t>POST /api/auth/signup: 정상 가입 응답</t>
        </is>
      </c>
      <c r="G24" s="29" t="inlineStr">
        <is>
          <t>201, 응답에 id/username/user_type, 비밀번호·해시 미포함, DB 에는 bcrypt 해시</t>
        </is>
      </c>
      <c r="H24" s="28" t="inlineStr">
        <is>
          <t>Must</t>
        </is>
      </c>
      <c r="I24" s="30" t="n"/>
      <c r="J24" s="31">
        <f>IFERROR(INDEX('케이스별결과'!$B$4:$B$600,MATCH($A24,'케이스별결과'!$A$4:$A$600,0)),"미실행")</f>
        <v/>
      </c>
    </row>
    <row r="25">
      <c r="A25" s="27" t="inlineStr">
        <is>
          <t>IT-03</t>
        </is>
      </c>
      <c r="B25" s="27" t="inlineStr">
        <is>
          <t>통합</t>
        </is>
      </c>
      <c r="C25" s="27" t="inlineStr">
        <is>
          <t>FR-01</t>
        </is>
      </c>
      <c r="D25" s="28" t="inlineStr">
        <is>
          <t>SC-01</t>
        </is>
      </c>
      <c r="E25" s="27" t="inlineStr">
        <is>
          <t>비정상</t>
        </is>
      </c>
      <c r="F25" s="29" t="inlineStr">
        <is>
          <t>POST /api/auth/signup: 잘못된 입력</t>
        </is>
      </c>
      <c r="G25" s="29" t="inlineStr">
        <is>
          <t>400 VALIDATION_ERROR, users 0건</t>
        </is>
      </c>
      <c r="H25" s="28" t="inlineStr">
        <is>
          <t>Must</t>
        </is>
      </c>
      <c r="I25" s="30" t="n"/>
      <c r="J25" s="31">
        <f>IFERROR(INDEX('케이스별결과'!$B$4:$B$600,MATCH($A25,'케이스별결과'!$A$4:$A$600,0)),"미실행")</f>
        <v/>
      </c>
    </row>
    <row r="26">
      <c r="A26" s="27" t="inlineStr">
        <is>
          <t>IT-04</t>
        </is>
      </c>
      <c r="B26" s="27" t="inlineStr">
        <is>
          <t>통합</t>
        </is>
      </c>
      <c r="C26" s="27" t="inlineStr">
        <is>
          <t>FR-01</t>
        </is>
      </c>
      <c r="D26" s="28" t="inlineStr">
        <is>
          <t>SC-01</t>
        </is>
      </c>
      <c r="E26" s="27" t="inlineStr">
        <is>
          <t>비정상</t>
        </is>
      </c>
      <c r="F26" s="29" t="inlineStr">
        <is>
          <t>POST /api/auth/signup: 본문 없음/JSON 아님</t>
        </is>
      </c>
      <c r="G26" s="29" t="inlineStr">
        <is>
          <t>400 (500 이 아님)</t>
        </is>
      </c>
      <c r="H26" s="28" t="inlineStr">
        <is>
          <t>Must</t>
        </is>
      </c>
      <c r="I26" s="30" t="n"/>
      <c r="J26" s="31">
        <f>IFERROR(INDEX('케이스별결과'!$B$4:$B$600,MATCH($A26,'케이스별결과'!$A$4:$A$600,0)),"미실행")</f>
        <v/>
      </c>
    </row>
    <row r="27">
      <c r="A27" s="27" t="inlineStr">
        <is>
          <t>IT-05</t>
        </is>
      </c>
      <c r="B27" s="27" t="inlineStr">
        <is>
          <t>통합</t>
        </is>
      </c>
      <c r="C27" s="27" t="inlineStr">
        <is>
          <t>FR-01</t>
        </is>
      </c>
      <c r="D27" s="28" t="inlineStr">
        <is>
          <t>SC-01</t>
        </is>
      </c>
      <c r="E27" s="27" t="inlineStr">
        <is>
          <t>정상</t>
        </is>
      </c>
      <c r="F27" s="29" t="inlineStr">
        <is>
          <t>POST /api/auth/login: 로그인 후 세션 유지</t>
        </is>
      </c>
      <c r="G27" s="29" t="inlineStr">
        <is>
          <t>200 → GET /api/auth/me 가 본인 정보 반환</t>
        </is>
      </c>
      <c r="H27" s="28" t="inlineStr">
        <is>
          <t>Must</t>
        </is>
      </c>
      <c r="I27" s="30" t="n"/>
      <c r="J27" s="31">
        <f>IFERROR(INDEX('케이스별결과'!$B$4:$B$600,MATCH($A27,'케이스별결과'!$A$4:$A$600,0)),"미실행")</f>
        <v/>
      </c>
    </row>
    <row r="28">
      <c r="A28" s="27" t="inlineStr">
        <is>
          <t>IT-06</t>
        </is>
      </c>
      <c r="B28" s="27" t="inlineStr">
        <is>
          <t>통합</t>
        </is>
      </c>
      <c r="C28" s="27" t="inlineStr">
        <is>
          <t>FR-01</t>
        </is>
      </c>
      <c r="D28" s="28" t="inlineStr">
        <is>
          <t>SC-01</t>
        </is>
      </c>
      <c r="E28" s="27" t="inlineStr">
        <is>
          <t>보안</t>
        </is>
      </c>
      <c r="F28" s="29" t="inlineStr">
        <is>
          <t>POST /api/auth/login: 세션 쿠키 보안 속성</t>
        </is>
      </c>
      <c r="G28" s="29" t="inlineStr">
        <is>
          <t>Set-Cookie 에 HttpOnly 와 SameSite 포함</t>
        </is>
      </c>
      <c r="H28" s="28" t="inlineStr">
        <is>
          <t>Must</t>
        </is>
      </c>
      <c r="I28" s="30" t="n"/>
      <c r="J28" s="31">
        <f>IFERROR(INDEX('케이스별결과'!$B$4:$B$600,MATCH($A28,'케이스별결과'!$A$4:$A$600,0)),"미실행")</f>
        <v/>
      </c>
    </row>
    <row r="29">
      <c r="A29" s="27" t="inlineStr">
        <is>
          <t>IT-07</t>
        </is>
      </c>
      <c r="B29" s="27" t="inlineStr">
        <is>
          <t>통합</t>
        </is>
      </c>
      <c r="C29" s="27" t="inlineStr">
        <is>
          <t>FR-01</t>
        </is>
      </c>
      <c r="D29" s="28" t="inlineStr">
        <is>
          <t>SC-01</t>
        </is>
      </c>
      <c r="E29" s="27" t="inlineStr">
        <is>
          <t>보안</t>
        </is>
      </c>
      <c r="F29" s="29" t="inlineStr">
        <is>
          <t>POST /api/auth/login: 실패 시 401, 계정 존재 여부 비노출</t>
        </is>
      </c>
      <c r="G29" s="29" t="inlineStr">
        <is>
          <t>없는 아이디/틀린 비밀번호의 응답 본문 동일, 이후에도 /me 는 401</t>
        </is>
      </c>
      <c r="H29" s="28" t="inlineStr">
        <is>
          <t>Must</t>
        </is>
      </c>
      <c r="I29" s="30" t="n"/>
      <c r="J29" s="31">
        <f>IFERROR(INDEX('케이스별결과'!$B$4:$B$600,MATCH($A29,'케이스별결과'!$A$4:$A$600,0)),"미실행")</f>
        <v/>
      </c>
    </row>
    <row r="30">
      <c r="A30" s="27" t="inlineStr">
        <is>
          <t>IT-08</t>
        </is>
      </c>
      <c r="B30" s="27" t="inlineStr">
        <is>
          <t>통합</t>
        </is>
      </c>
      <c r="C30" s="27" t="inlineStr">
        <is>
          <t>FR-01</t>
        </is>
      </c>
      <c r="D30" s="28" t="inlineStr">
        <is>
          <t>SC-01</t>
        </is>
      </c>
      <c r="E30" s="27" t="inlineStr">
        <is>
          <t>보안</t>
        </is>
      </c>
      <c r="F30" s="29" t="inlineStr">
        <is>
          <t>POST /api/auth/login: SQL 인젝션/빈 값</t>
        </is>
      </c>
      <c r="G30" s="29" t="inlineStr">
        <is>
          <t>401 또는 400, 500 없음</t>
        </is>
      </c>
      <c r="H30" s="28" t="inlineStr">
        <is>
          <t>Must</t>
        </is>
      </c>
      <c r="I30" s="30" t="n"/>
      <c r="J30" s="31">
        <f>IFERROR(INDEX('케이스별결과'!$B$4:$B$600,MATCH($A30,'케이스별결과'!$A$4:$A$600,0)),"미실행")</f>
        <v/>
      </c>
    </row>
    <row r="31">
      <c r="A31" s="27" t="inlineStr">
        <is>
          <t>IT-09</t>
        </is>
      </c>
      <c r="B31" s="27" t="inlineStr">
        <is>
          <t>통합</t>
        </is>
      </c>
      <c r="C31" s="27" t="inlineStr">
        <is>
          <t>FR-01</t>
        </is>
      </c>
      <c r="D31" s="28" t="inlineStr">
        <is>
          <t>SC-01</t>
        </is>
      </c>
      <c r="E31" s="27" t="inlineStr">
        <is>
          <t>정상</t>
        </is>
      </c>
      <c r="F31" s="29" t="inlineStr">
        <is>
          <t>POST /api/auth/logout: 세션 종료</t>
        </is>
      </c>
      <c r="G31" s="29" t="inlineStr">
        <is>
          <t>204 이후 /me 401, 재로그아웃도 오류 없음</t>
        </is>
      </c>
      <c r="H31" s="28" t="inlineStr">
        <is>
          <t>Must</t>
        </is>
      </c>
      <c r="I31" s="30" t="n"/>
      <c r="J31" s="31">
        <f>IFERROR(INDEX('케이스별결과'!$B$4:$B$600,MATCH($A31,'케이스별결과'!$A$4:$A$600,0)),"미실행")</f>
        <v/>
      </c>
    </row>
    <row r="32">
      <c r="A32" s="27" t="inlineStr">
        <is>
          <t>IT-10</t>
        </is>
      </c>
      <c r="B32" s="27" t="inlineStr">
        <is>
          <t>통합</t>
        </is>
      </c>
      <c r="C32" s="27" t="inlineStr">
        <is>
          <t>FR-01</t>
        </is>
      </c>
      <c r="D32" s="28" t="inlineStr">
        <is>
          <t>SC-01</t>
        </is>
      </c>
      <c r="E32" s="27" t="inlineStr">
        <is>
          <t>보안</t>
        </is>
      </c>
      <c r="F32" s="29" t="inlineStr">
        <is>
          <t>세션: 서로 다른 클라이언트 격리 / 위조 쿠키</t>
        </is>
      </c>
      <c r="G32" s="29" t="inlineStr">
        <is>
          <t>A 로그인이 B 에 영향 없음, 임의 쿠키는 401</t>
        </is>
      </c>
      <c r="H32" s="28" t="inlineStr">
        <is>
          <t>Must</t>
        </is>
      </c>
      <c r="I32" s="30" t="n"/>
      <c r="J32" s="31">
        <f>IFERROR(INDEX('케이스별결과'!$B$4:$B$600,MATCH($A32,'케이스별결과'!$A$4:$A$600,0)),"미실행")</f>
        <v/>
      </c>
    </row>
    <row r="33">
      <c r="A33" s="27" t="inlineStr">
        <is>
          <t>IT-11</t>
        </is>
      </c>
      <c r="B33" s="27" t="inlineStr">
        <is>
          <t>통합</t>
        </is>
      </c>
      <c r="C33" s="27" t="inlineStr">
        <is>
          <t>FR-01</t>
        </is>
      </c>
      <c r="D33" s="28" t="inlineStr">
        <is>
          <t>공통</t>
        </is>
      </c>
      <c r="E33" s="27" t="inlineStr">
        <is>
          <t>보안</t>
        </is>
      </c>
      <c r="F33" s="29" t="inlineStr">
        <is>
          <t>보호 API: 미로그인 호출</t>
        </is>
      </c>
      <c r="G33" s="29" t="inlineStr">
        <is>
          <t>401 반환, 어떤 레코드도 생성되지 않음</t>
        </is>
      </c>
      <c r="H33" s="28" t="inlineStr">
        <is>
          <t>Must</t>
        </is>
      </c>
      <c r="I33" s="30" t="n"/>
      <c r="J33" s="31">
        <f>IFERROR(INDEX('케이스별결과'!$B$4:$B$600,MATCH($A33,'케이스별결과'!$A$4:$A$600,0)),"미실행")</f>
        <v/>
      </c>
    </row>
    <row r="34">
      <c r="A34" s="27" t="inlineStr">
        <is>
          <t>IT-12</t>
        </is>
      </c>
      <c r="B34" s="27" t="inlineStr">
        <is>
          <t>통합</t>
        </is>
      </c>
      <c r="C34" s="27" t="inlineStr">
        <is>
          <t>FR-01</t>
        </is>
      </c>
      <c r="D34" s="28" t="inlineStr">
        <is>
          <t>공통</t>
        </is>
      </c>
      <c r="E34" s="27" t="inlineStr">
        <is>
          <t>경계</t>
        </is>
      </c>
      <c r="F34" s="29" t="inlineStr">
        <is>
          <t>오류 응답 형식 일관성</t>
        </is>
      </c>
      <c r="G34" s="29" t="inlineStr">
        <is>
          <t>존재하지 않는 /api 경로 404, 잘못된 메서드 405 모두 JSON {error:{code,message}}</t>
        </is>
      </c>
      <c r="H34" s="28" t="inlineStr">
        <is>
          <t>Must</t>
        </is>
      </c>
      <c r="I34" s="30" t="n"/>
      <c r="J34" s="31">
        <f>IFERROR(INDEX('케이스별결과'!$B$4:$B$600,MATCH($A34,'케이스별결과'!$A$4:$A$600,0)),"미실행")</f>
        <v/>
      </c>
    </row>
    <row r="35">
      <c r="A35" s="27" t="inlineStr">
        <is>
          <t>IT-13</t>
        </is>
      </c>
      <c r="B35" s="27" t="inlineStr">
        <is>
          <t>통합</t>
        </is>
      </c>
      <c r="C35" s="27" t="inlineStr">
        <is>
          <t>FR-02</t>
        </is>
      </c>
      <c r="D35" s="28" t="inlineStr">
        <is>
          <t>SC-03</t>
        </is>
      </c>
      <c r="E35" s="27" t="inlineStr">
        <is>
          <t>정상</t>
        </is>
      </c>
      <c r="F35" s="29" t="inlineStr">
        <is>
          <t>POST /api/privacy/process: 가명/익명 각 1회</t>
        </is>
      </c>
      <c r="G35" s="29" t="inlineStr">
        <is>
          <t>level별 personal_info 가 올바른 값으로 저장 (가명=PSN-…, 익명=None/'익명')</t>
        </is>
      </c>
      <c r="H35" s="28" t="inlineStr">
        <is>
          <t>Must</t>
        </is>
      </c>
      <c r="I35" s="30" t="n"/>
      <c r="J35" s="31">
        <f>IFERROR(INDEX('케이스별결과'!$B$4:$B$600,MATCH($A35,'케이스별결과'!$A$4:$A$600,0)),"미실행")</f>
        <v/>
      </c>
    </row>
    <row r="36">
      <c r="A36" s="27" t="inlineStr">
        <is>
          <t>IT-14</t>
        </is>
      </c>
      <c r="B36" s="27" t="inlineStr">
        <is>
          <t>통합</t>
        </is>
      </c>
      <c r="C36" s="27" t="inlineStr">
        <is>
          <t>FR-02</t>
        </is>
      </c>
      <c r="D36" s="28" t="inlineStr">
        <is>
          <t>SC-03</t>
        </is>
      </c>
      <c r="E36" s="27" t="inlineStr">
        <is>
          <t>보안</t>
        </is>
      </c>
      <c r="F36" s="29" t="inlineStr">
        <is>
          <t>가명·익명 처리: 원본 개인정보 비저장·비노출</t>
        </is>
      </c>
      <c r="G36" s="29" t="inlineStr">
        <is>
          <t>응답과 DB 전 테이블 어디에도 '홍길동' / '1990-04-12' 없음</t>
        </is>
      </c>
      <c r="H36" s="28" t="inlineStr">
        <is>
          <t>Must</t>
        </is>
      </c>
      <c r="I36" s="30" t="n"/>
      <c r="J36" s="31">
        <f>IFERROR(INDEX('케이스별결과'!$B$4:$B$600,MATCH($A36,'케이스별결과'!$A$4:$A$600,0)),"미실행")</f>
        <v/>
      </c>
    </row>
    <row r="37">
      <c r="A37" s="27" t="inlineStr">
        <is>
          <t>IT-15</t>
        </is>
      </c>
      <c r="B37" s="27" t="inlineStr">
        <is>
          <t>통합</t>
        </is>
      </c>
      <c r="C37" s="27" t="inlineStr">
        <is>
          <t>FR-02</t>
        </is>
      </c>
      <c r="D37" s="28" t="inlineStr">
        <is>
          <t>SC-03</t>
        </is>
      </c>
      <c r="E37" s="27" t="inlineStr">
        <is>
          <t>비정상</t>
        </is>
      </c>
      <c r="F37" s="29" t="inlineStr">
        <is>
          <t>POST /api/privacy/process: 잘못된 입력</t>
        </is>
      </c>
      <c r="G37" s="29" t="inlineStr">
        <is>
          <t>400 VALIDATION_ERROR, personal_info 0건</t>
        </is>
      </c>
      <c r="H37" s="28" t="inlineStr">
        <is>
          <t>Must</t>
        </is>
      </c>
      <c r="I37" s="30" t="n"/>
      <c r="J37" s="31">
        <f>IFERROR(INDEX('케이스별결과'!$B$4:$B$600,MATCH($A37,'케이스별결과'!$A$4:$A$600,0)),"미실행")</f>
        <v/>
      </c>
    </row>
    <row r="38">
      <c r="A38" s="27" t="inlineStr">
        <is>
          <t>IT-16</t>
        </is>
      </c>
      <c r="B38" s="27" t="inlineStr">
        <is>
          <t>통합</t>
        </is>
      </c>
      <c r="C38" s="27" t="inlineStr">
        <is>
          <t>FR-02</t>
        </is>
      </c>
      <c r="D38" s="28" t="inlineStr">
        <is>
          <t>SC-03</t>
        </is>
      </c>
      <c r="E38" s="27" t="inlineStr">
        <is>
          <t>정상</t>
        </is>
      </c>
      <c r="F38" s="29" t="inlineStr">
        <is>
          <t>GET /api/privacy/me: 처리 전 404, 처리 후 200</t>
        </is>
      </c>
      <c r="G38" s="29" t="inlineStr">
        <is>
          <t>404 NOT_FOUND → 200 {level, display, pseudonym_id}</t>
        </is>
      </c>
      <c r="H38" s="28" t="inlineStr">
        <is>
          <t>Must</t>
        </is>
      </c>
      <c r="I38" s="30" t="n"/>
      <c r="J38" s="31">
        <f>IFERROR(INDEX('케이스별결과'!$B$4:$B$600,MATCH($A38,'케이스별결과'!$A$4:$A$600,0)),"미실행")</f>
        <v/>
      </c>
    </row>
    <row r="39">
      <c r="A39" s="27" t="inlineStr">
        <is>
          <t>IT-17</t>
        </is>
      </c>
      <c r="B39" s="27" t="inlineStr">
        <is>
          <t>통합</t>
        </is>
      </c>
      <c r="C39" s="27" t="inlineStr">
        <is>
          <t>FR-02</t>
        </is>
      </c>
      <c r="D39" s="28" t="inlineStr">
        <is>
          <t>SC-03</t>
        </is>
      </c>
      <c r="E39" s="27" t="inlineStr">
        <is>
          <t>보안</t>
        </is>
      </c>
      <c r="F39" s="29" t="inlineStr">
        <is>
          <t>개인정보 처리 결과는 본인 것만 조회</t>
        </is>
      </c>
      <c r="G39" s="29" t="inlineStr">
        <is>
          <t>A 의 처리 결과가 B 의 /privacy/me 에 노출되지 않음</t>
        </is>
      </c>
      <c r="H39" s="28" t="inlineStr">
        <is>
          <t>Must</t>
        </is>
      </c>
      <c r="I39" s="30" t="n"/>
      <c r="J39" s="31">
        <f>IFERROR(INDEX('케이스별결과'!$B$4:$B$600,MATCH($A39,'케이스별결과'!$A$4:$A$600,0)),"미실행")</f>
        <v/>
      </c>
    </row>
    <row r="40">
      <c r="A40" s="27" t="inlineStr">
        <is>
          <t>IT-18</t>
        </is>
      </c>
      <c r="B40" s="27" t="inlineStr">
        <is>
          <t>통합</t>
        </is>
      </c>
      <c r="C40" s="27" t="inlineStr">
        <is>
          <t>FR-03</t>
        </is>
      </c>
      <c r="D40" s="28" t="inlineStr">
        <is>
          <t>SC-04</t>
        </is>
      </c>
      <c r="E40" s="27" t="inlineStr">
        <is>
          <t>정상</t>
        </is>
      </c>
      <c r="F40" s="29" t="inlineStr">
        <is>
          <t>POST /api/cavp/applications → GET 목록</t>
        </is>
      </c>
      <c r="G40" s="29" t="inlineStr">
        <is>
          <t>201 status=submitted, 목록 응답에 방금 신청 포함</t>
        </is>
      </c>
      <c r="H40" s="28" t="inlineStr">
        <is>
          <t>Must</t>
        </is>
      </c>
      <c r="I40" s="30" t="n"/>
      <c r="J40" s="31">
        <f>IFERROR(INDEX('케이스별결과'!$B$4:$B$600,MATCH($A40,'케이스별결과'!$A$4:$A$600,0)),"미실행")</f>
        <v/>
      </c>
    </row>
    <row r="41">
      <c r="A41" s="27" t="inlineStr">
        <is>
          <t>IT-19</t>
        </is>
      </c>
      <c r="B41" s="27" t="inlineStr">
        <is>
          <t>통합</t>
        </is>
      </c>
      <c r="C41" s="27" t="inlineStr">
        <is>
          <t>FR-03</t>
        </is>
      </c>
      <c r="D41" s="28" t="inlineStr">
        <is>
          <t>SC-04</t>
        </is>
      </c>
      <c r="E41" s="27" t="inlineStr">
        <is>
          <t>비정상</t>
        </is>
      </c>
      <c r="F41" s="29" t="inlineStr">
        <is>
          <t>신청 입력 오류/중복</t>
        </is>
      </c>
      <c r="G41" s="29" t="inlineStr">
        <is>
          <t>미허용 알고리즘 400, 진행 중 중복 409(DUPLICATE_APPLICATION), 레코드 증가 없음</t>
        </is>
      </c>
      <c r="H41" s="28" t="inlineStr">
        <is>
          <t>Must</t>
        </is>
      </c>
      <c r="I41" s="30" t="n"/>
      <c r="J41" s="31">
        <f>IFERROR(INDEX('케이스별결과'!$B$4:$B$600,MATCH($A41,'케이스별결과'!$A$4:$A$600,0)),"미실행")</f>
        <v/>
      </c>
    </row>
    <row r="42">
      <c r="A42" s="27" t="inlineStr">
        <is>
          <t>IT-20</t>
        </is>
      </c>
      <c r="B42" s="27" t="inlineStr">
        <is>
          <t>통합</t>
        </is>
      </c>
      <c r="C42" s="27" t="inlineStr">
        <is>
          <t>FR-03</t>
        </is>
      </c>
      <c r="D42" s="28" t="inlineStr">
        <is>
          <t>SC-04</t>
        </is>
      </c>
      <c r="E42" s="27" t="inlineStr">
        <is>
          <t>경계</t>
        </is>
      </c>
      <c r="F42" s="29" t="inlineStr">
        <is>
          <t>신청 목록: 상태 필터·페이지네이션 쿼리</t>
        </is>
      </c>
      <c r="G42" s="29" t="inlineStr">
        <is>
          <t>status/page/per_page 가 반영되고 total 이 필터 기준</t>
        </is>
      </c>
      <c r="H42" s="28" t="inlineStr">
        <is>
          <t>Must</t>
        </is>
      </c>
      <c r="I42" s="30" t="n"/>
      <c r="J42" s="31">
        <f>IFERROR(INDEX('케이스별결과'!$B$4:$B$600,MATCH($A42,'케이스별결과'!$A$4:$A$600,0)),"미실행")</f>
        <v/>
      </c>
    </row>
    <row r="43">
      <c r="A43" s="27" t="inlineStr">
        <is>
          <t>IT-21</t>
        </is>
      </c>
      <c r="B43" s="27" t="inlineStr">
        <is>
          <t>통합</t>
        </is>
      </c>
      <c r="C43" s="27" t="inlineStr">
        <is>
          <t>FR-03</t>
        </is>
      </c>
      <c r="D43" s="28" t="inlineStr">
        <is>
          <t>SC-04</t>
        </is>
      </c>
      <c r="E43" s="27" t="inlineStr">
        <is>
          <t>비정상</t>
        </is>
      </c>
      <c r="F43" s="29" t="inlineStr">
        <is>
          <t>신청 목록: 잘못된 쿼리 파라미터</t>
        </is>
      </c>
      <c r="G43" s="29" t="inlineStr">
        <is>
          <t>page=0, per_page=51, per_page=abc, status=weird → 400</t>
        </is>
      </c>
      <c r="H43" s="28" t="inlineStr">
        <is>
          <t>Must</t>
        </is>
      </c>
      <c r="I43" s="30" t="n"/>
      <c r="J43" s="31">
        <f>IFERROR(INDEX('케이스별결과'!$B$4:$B$600,MATCH($A43,'케이스별결과'!$A$4:$A$600,0)),"미실행")</f>
        <v/>
      </c>
    </row>
    <row r="44">
      <c r="A44" s="27" t="inlineStr">
        <is>
          <t>IT-22</t>
        </is>
      </c>
      <c r="B44" s="27" t="inlineStr">
        <is>
          <t>통합</t>
        </is>
      </c>
      <c r="C44" s="27" t="inlineStr">
        <is>
          <t>FR-03</t>
        </is>
      </c>
      <c r="D44" s="28" t="inlineStr">
        <is>
          <t>SC-04</t>
        </is>
      </c>
      <c r="E44" s="27" t="inlineStr">
        <is>
          <t>보안</t>
        </is>
      </c>
      <c r="F44" s="29" t="inlineStr">
        <is>
          <t>신청 조회 격리: 타인 신청 목록/상세</t>
        </is>
      </c>
      <c r="G44" s="29" t="inlineStr">
        <is>
          <t>목록에 타인 건 없음, 타인 상세 403 FORBIDDEN, 없는 id 404</t>
        </is>
      </c>
      <c r="H44" s="28" t="inlineStr">
        <is>
          <t>Must</t>
        </is>
      </c>
      <c r="I44" s="30" t="n"/>
      <c r="J44" s="31">
        <f>IFERROR(INDEX('케이스별결과'!$B$4:$B$600,MATCH($A44,'케이스별결과'!$A$4:$A$600,0)),"미실행")</f>
        <v/>
      </c>
    </row>
    <row r="45">
      <c r="A45" s="27" t="inlineStr">
        <is>
          <t>IT-23</t>
        </is>
      </c>
      <c r="B45" s="27" t="inlineStr">
        <is>
          <t>통합</t>
        </is>
      </c>
      <c r="C45" s="27" t="inlineStr">
        <is>
          <t>FR-03</t>
        </is>
      </c>
      <c r="D45" s="28" t="inlineStr">
        <is>
          <t>SC-04</t>
        </is>
      </c>
      <c r="E45" s="27" t="inlineStr">
        <is>
          <t>정상</t>
        </is>
      </c>
      <c r="F45" s="29" t="inlineStr">
        <is>
          <t>PATCH /api/cavp/applications/{id}/status: 기관 심사 흐름</t>
        </is>
      </c>
      <c r="G45" s="29" t="inlineStr">
        <is>
          <t>submitted→reviewing→approved 200, 잘못된 전이 409 INVALID_TRANSITION, 기관은 타인 신청 상세 조회 가능</t>
        </is>
      </c>
      <c r="H45" s="28" t="inlineStr">
        <is>
          <t>Must</t>
        </is>
      </c>
      <c r="I45" s="30" t="n"/>
      <c r="J45" s="31">
        <f>IFERROR(INDEX('케이스별결과'!$B$4:$B$600,MATCH($A45,'케이스별결과'!$A$4:$A$600,0)),"미실행")</f>
        <v/>
      </c>
    </row>
    <row r="46">
      <c r="A46" s="27" t="inlineStr">
        <is>
          <t>IT-24</t>
        </is>
      </c>
      <c r="B46" s="27" t="inlineStr">
        <is>
          <t>통합</t>
        </is>
      </c>
      <c r="C46" s="27" t="inlineStr">
        <is>
          <t>FR-03</t>
        </is>
      </c>
      <c r="D46" s="28" t="inlineStr">
        <is>
          <t>SC-04</t>
        </is>
      </c>
      <c r="E46" s="27" t="inlineStr">
        <is>
          <t>보안</t>
        </is>
      </c>
      <c r="F46" s="29" t="inlineStr">
        <is>
          <t>PATCH status: 기관이 아닌 사용자 / 알 수 없는 상태</t>
        </is>
      </c>
      <c r="G46" s="29" t="inlineStr">
        <is>
          <t>403 FORBIDDEN / 400 VALIDATION_ERROR, 상태 불변</t>
        </is>
      </c>
      <c r="H46" s="28" t="inlineStr">
        <is>
          <t>Must</t>
        </is>
      </c>
      <c r="I46" s="30" t="n"/>
      <c r="J46" s="31">
        <f>IFERROR(INDEX('케이스별결과'!$B$4:$B$600,MATCH($A46,'케이스별결과'!$A$4:$A$600,0)),"미실행")</f>
        <v/>
      </c>
    </row>
    <row r="47">
      <c r="A47" s="27" t="inlineStr">
        <is>
          <t>IT-25</t>
        </is>
      </c>
      <c r="B47" s="27" t="inlineStr">
        <is>
          <t>통합</t>
        </is>
      </c>
      <c r="C47" s="27" t="inlineStr">
        <is>
          <t>FR-04</t>
        </is>
      </c>
      <c r="D47" s="28" t="inlineStr">
        <is>
          <t>SC-06</t>
        </is>
      </c>
      <c r="E47" s="27" t="inlineStr">
        <is>
          <t>정상</t>
        </is>
      </c>
      <c r="F47" s="29" t="inlineStr">
        <is>
          <t>POST /api/cavp/applications/{id}/certificate: 승인 건 발급</t>
        </is>
      </c>
      <c r="G47" s="29" t="inlineStr">
        <is>
          <t>201, tamper_status=normal, 소유자의 /api/certificates 목록·상세에 노출</t>
        </is>
      </c>
      <c r="H47" s="28" t="inlineStr">
        <is>
          <t>Should</t>
        </is>
      </c>
      <c r="I47" s="30" t="n"/>
      <c r="J47" s="31">
        <f>IFERROR(INDEX('케이스별결과'!$B$4:$B$600,MATCH($A47,'케이스별결과'!$A$4:$A$600,0)),"미실행")</f>
        <v/>
      </c>
    </row>
    <row r="48">
      <c r="A48" s="27" t="inlineStr">
        <is>
          <t>IT-26</t>
        </is>
      </c>
      <c r="B48" s="27" t="inlineStr">
        <is>
          <t>통합</t>
        </is>
      </c>
      <c r="C48" s="27" t="inlineStr">
        <is>
          <t>FR-04</t>
        </is>
      </c>
      <c r="D48" s="28" t="inlineStr">
        <is>
          <t>SC-06</t>
        </is>
      </c>
      <c r="E48" s="27" t="inlineStr">
        <is>
          <t>비정상</t>
        </is>
      </c>
      <c r="F48" s="29" t="inlineStr">
        <is>
          <t>검증서 발급 오류 경로</t>
        </is>
      </c>
      <c r="G48" s="29" t="inlineStr">
        <is>
          <t>미승인 신청 409, 중복 발급 409, 비기관 403, 잘못된 cert_type 400, 레코드 증가 없음</t>
        </is>
      </c>
      <c r="H48" s="28" t="inlineStr">
        <is>
          <t>Should</t>
        </is>
      </c>
      <c r="I48" s="30" t="n"/>
      <c r="J48" s="31">
        <f>IFERROR(INDEX('케이스별결과'!$B$4:$B$600,MATCH($A48,'케이스별결과'!$A$4:$A$600,0)),"미실행")</f>
        <v/>
      </c>
    </row>
    <row r="49">
      <c r="A49" s="27" t="inlineStr">
        <is>
          <t>IT-27</t>
        </is>
      </c>
      <c r="B49" s="27" t="inlineStr">
        <is>
          <t>통합</t>
        </is>
      </c>
      <c r="C49" s="27" t="inlineStr">
        <is>
          <t>FR-05</t>
        </is>
      </c>
      <c r="D49" s="28" t="inlineStr">
        <is>
          <t>SC-07</t>
        </is>
      </c>
      <c r="E49" s="27" t="inlineStr">
        <is>
          <t>정상</t>
        </is>
      </c>
      <c r="F49" s="29" t="inlineStr">
        <is>
          <t>GET /api/certificates/{id}/verify: 정상 건 / 위변조 의심 건</t>
        </is>
      </c>
      <c r="G49" s="29" t="inlineStr">
        <is>
          <t>tamper_status 값에 따라 판정 필드 일치(normal / suspected)</t>
        </is>
      </c>
      <c r="H49" s="28" t="inlineStr">
        <is>
          <t>Should</t>
        </is>
      </c>
      <c r="I49" s="30" t="n"/>
      <c r="J49" s="31">
        <f>IFERROR(INDEX('케이스별결과'!$B$4:$B$600,MATCH($A49,'케이스별결과'!$A$4:$A$600,0)),"미실행")</f>
        <v/>
      </c>
    </row>
    <row r="50">
      <c r="A50" s="27" t="inlineStr">
        <is>
          <t>IT-28</t>
        </is>
      </c>
      <c r="B50" s="27" t="inlineStr">
        <is>
          <t>통합</t>
        </is>
      </c>
      <c r="C50" s="27" t="inlineStr">
        <is>
          <t>FR-05</t>
        </is>
      </c>
      <c r="D50" s="28" t="inlineStr">
        <is>
          <t>SC-07</t>
        </is>
      </c>
      <c r="E50" s="27" t="inlineStr">
        <is>
          <t>비정상</t>
        </is>
      </c>
      <c r="F50" s="29" t="inlineStr">
        <is>
          <t>검증서 파일 삭제 후 verify</t>
        </is>
      </c>
      <c r="G50" s="29" t="inlineStr">
        <is>
          <t>200 + suspected (서버 오류 500 아님)</t>
        </is>
      </c>
      <c r="H50" s="28" t="inlineStr">
        <is>
          <t>Should</t>
        </is>
      </c>
      <c r="I50" s="30" t="n"/>
      <c r="J50" s="31">
        <f>IFERROR(INDEX('케이스별결과'!$B$4:$B$600,MATCH($A50,'케이스별결과'!$A$4:$A$600,0)),"미실행")</f>
        <v/>
      </c>
    </row>
    <row r="51">
      <c r="A51" s="27" t="inlineStr">
        <is>
          <t>IT-29</t>
        </is>
      </c>
      <c r="B51" s="27" t="inlineStr">
        <is>
          <t>통합</t>
        </is>
      </c>
      <c r="C51" s="27" t="inlineStr">
        <is>
          <t>FR-04</t>
        </is>
      </c>
      <c r="D51" s="28" t="inlineStr">
        <is>
          <t>SC-06</t>
        </is>
      </c>
      <c r="E51" s="27" t="inlineStr">
        <is>
          <t>보안</t>
        </is>
      </c>
      <c r="F51" s="29" t="inlineStr">
        <is>
          <t>검증서 조회 격리</t>
        </is>
      </c>
      <c r="G51" s="29" t="inlineStr">
        <is>
          <t>타인의 검증서 상세·verify 403, 목록에 타인 건 없음, 없는 id 404</t>
        </is>
      </c>
      <c r="H51" s="28" t="inlineStr">
        <is>
          <t>Should</t>
        </is>
      </c>
      <c r="I51" s="30" t="n"/>
      <c r="J51" s="31">
        <f>IFERROR(INDEX('케이스별결과'!$B$4:$B$600,MATCH($A51,'케이스별결과'!$A$4:$A$600,0)),"미실행")</f>
        <v/>
      </c>
    </row>
    <row r="52">
      <c r="A52" s="27" t="inlineStr">
        <is>
          <t>IT-30</t>
        </is>
      </c>
      <c r="B52" s="27" t="inlineStr">
        <is>
          <t>통합</t>
        </is>
      </c>
      <c r="C52" s="27" t="inlineStr">
        <is>
          <t>FR-05</t>
        </is>
      </c>
      <c r="D52" s="28" t="inlineStr">
        <is>
          <t>SC-07</t>
        </is>
      </c>
      <c r="E52" s="27" t="inlineStr">
        <is>
          <t>보안</t>
        </is>
      </c>
      <c r="F52" s="29" t="inlineStr">
        <is>
          <t>검증서 응답 보안: 서버 파일 경로·해시 원문 비노출</t>
        </is>
      </c>
      <c r="G52" s="29" t="inlineStr">
        <is>
          <t>응답 본문에 저장 디렉터리 경로 없음</t>
        </is>
      </c>
      <c r="H52" s="28" t="inlineStr">
        <is>
          <t>Should</t>
        </is>
      </c>
      <c r="I52" s="30" t="n"/>
      <c r="J52" s="31">
        <f>IFERROR(INDEX('케이스별결과'!$B$4:$B$600,MATCH($A52,'케이스별결과'!$A$4:$A$600,0)),"미실행")</f>
        <v/>
      </c>
    </row>
    <row r="53">
      <c r="A53" s="27" t="inlineStr">
        <is>
          <t>IT-31</t>
        </is>
      </c>
      <c r="B53" s="27" t="inlineStr">
        <is>
          <t>통합</t>
        </is>
      </c>
      <c r="C53" s="27" t="inlineStr">
        <is>
          <t>FR-14</t>
        </is>
      </c>
      <c r="D53" s="28" t="inlineStr">
        <is>
          <t>공통</t>
        </is>
      </c>
      <c r="E53" s="27" t="inlineStr">
        <is>
          <t>정상</t>
        </is>
      </c>
      <c r="F53" s="29" t="inlineStr">
        <is>
          <t>E2E: 가입→로그인→가명처리→신청→심사→발급→조회→변조탐지</t>
        </is>
      </c>
      <c r="G53" s="29" t="inlineStr">
        <is>
          <t>전 단계 성공, 변조 후 suspected</t>
        </is>
      </c>
      <c r="H53" s="28" t="inlineStr">
        <is>
          <t>Should</t>
        </is>
      </c>
      <c r="I53" s="30" t="n"/>
      <c r="J53" s="31">
        <f>IFERROR(INDEX('케이스별결과'!$B$4:$B$600,MATCH($A53,'케이스별결과'!$A$4:$A$600,0)),"미실행")</f>
        <v/>
      </c>
    </row>
    <row r="54">
      <c r="A54" s="27" t="inlineStr">
        <is>
          <t>IT-32</t>
        </is>
      </c>
      <c r="B54" s="27" t="inlineStr">
        <is>
          <t>통합</t>
        </is>
      </c>
      <c r="C54" s="27" t="inlineStr">
        <is>
          <t>FR-04</t>
        </is>
      </c>
      <c r="D54" s="28" t="inlineStr">
        <is>
          <t>공통</t>
        </is>
      </c>
      <c r="E54" s="27" t="inlineStr">
        <is>
          <t>정상</t>
        </is>
      </c>
      <c r="F54" s="29" t="inlineStr">
        <is>
          <t>초기데이터(seed) 적재 후 데모 계정으로 화면 데이터 조회</t>
        </is>
      </c>
      <c r="G54" s="29" t="inlineStr">
        <is>
          <t>demo_individual 로그인 → 신청/검증서 목록 존재, 위변조 의심 건 1건 확인(기관 계정)</t>
        </is>
      </c>
      <c r="H54" s="28" t="inlineStr">
        <is>
          <t>Should</t>
        </is>
      </c>
      <c r="I54" s="30" t="n"/>
      <c r="J54" s="31">
        <f>IFERROR(INDEX('케이스별결과'!$B$4:$B$600,MATCH($A54,'케이스별결과'!$A$4:$A$600,0)),"미실행")</f>
        <v/>
      </c>
    </row>
    <row r="55">
      <c r="A55" s="27" t="inlineStr">
        <is>
          <t>IT-33</t>
        </is>
      </c>
      <c r="B55" s="27" t="inlineStr">
        <is>
          <t>통합</t>
        </is>
      </c>
      <c r="C55" s="27" t="inlineStr">
        <is>
          <t>FR-03</t>
        </is>
      </c>
      <c r="D55" s="28" t="inlineStr">
        <is>
          <t>SC-02</t>
        </is>
      </c>
      <c r="E55" s="27" t="inlineStr">
        <is>
          <t>정상</t>
        </is>
      </c>
      <c r="F55" s="29" t="inlineStr">
        <is>
          <t>GET /api/dashboard: 로그인 사용자의 요약 구조</t>
        </is>
      </c>
      <c r="G55" s="29" t="inlineStr">
        <is>
          <t>200, scope/user/applications/certificates/privacy/recent_applications/notifications 키 포함</t>
        </is>
      </c>
      <c r="H55" s="28" t="inlineStr">
        <is>
          <t>Must</t>
        </is>
      </c>
      <c r="I55" s="30" t="n"/>
      <c r="J55" s="31">
        <f>IFERROR(INDEX('케이스별결과'!$B$4:$B$600,MATCH($A55,'케이스별결과'!$A$4:$A$600,0)),"미실행")</f>
        <v/>
      </c>
    </row>
    <row r="56">
      <c r="A56" s="27" t="inlineStr">
        <is>
          <t>IT-34</t>
        </is>
      </c>
      <c r="B56" s="27" t="inlineStr">
        <is>
          <t>통합</t>
        </is>
      </c>
      <c r="C56" s="27" t="inlineStr">
        <is>
          <t>FR-03</t>
        </is>
      </c>
      <c r="D56" s="28" t="inlineStr">
        <is>
          <t>SC-02</t>
        </is>
      </c>
      <c r="E56" s="27" t="inlineStr">
        <is>
          <t>보안</t>
        </is>
      </c>
      <c r="F56" s="29" t="inlineStr">
        <is>
          <t>GET /api/dashboard: 비로그인 접근</t>
        </is>
      </c>
      <c r="G56" s="29" t="inlineStr">
        <is>
          <t>401 AUTHENTICATION_FAILED</t>
        </is>
      </c>
      <c r="H56" s="28" t="inlineStr">
        <is>
          <t>Must</t>
        </is>
      </c>
      <c r="I56" s="30" t="n"/>
      <c r="J56" s="31">
        <f>IFERROR(INDEX('케이스별결과'!$B$4:$B$600,MATCH($A56,'케이스별결과'!$A$4:$A$600,0)),"미실행")</f>
        <v/>
      </c>
    </row>
    <row r="57">
      <c r="A57" s="27" t="inlineStr">
        <is>
          <t>IT-35</t>
        </is>
      </c>
      <c r="B57" s="27" t="inlineStr">
        <is>
          <t>통합</t>
        </is>
      </c>
      <c r="C57" s="27" t="inlineStr">
        <is>
          <t>FR-03</t>
        </is>
      </c>
      <c r="D57" s="28" t="inlineStr">
        <is>
          <t>SC-02</t>
        </is>
      </c>
      <c r="E57" s="27" t="inlineStr">
        <is>
          <t>보안</t>
        </is>
      </c>
      <c r="F57" s="29" t="inlineStr">
        <is>
          <t>GET /api/dashboard: 사용자 간 데이터 격리</t>
        </is>
      </c>
      <c r="G57" s="29" t="inlineStr">
        <is>
          <t>A 의 신청/검증서 건수가 B 의 응답에 포함되지 않음</t>
        </is>
      </c>
      <c r="H57" s="28" t="inlineStr">
        <is>
          <t>Must</t>
        </is>
      </c>
      <c r="I57" s="30" t="n"/>
      <c r="J57" s="31">
        <f>IFERROR(INDEX('케이스별결과'!$B$4:$B$600,MATCH($A57,'케이스별결과'!$A$4:$A$600,0)),"미실행")</f>
        <v/>
      </c>
    </row>
    <row r="58">
      <c r="A58" s="27" t="inlineStr">
        <is>
          <t>IT-36</t>
        </is>
      </c>
      <c r="B58" s="27" t="inlineStr">
        <is>
          <t>통합</t>
        </is>
      </c>
      <c r="C58" s="27" t="inlineStr">
        <is>
          <t>FR-03</t>
        </is>
      </c>
      <c r="D58" s="28" t="inlineStr">
        <is>
          <t>SC-02</t>
        </is>
      </c>
      <c r="E58" s="27" t="inlineStr">
        <is>
          <t>정상</t>
        </is>
      </c>
      <c r="F58" s="29" t="inlineStr">
        <is>
          <t>GET /api/dashboard: 기관 사용자는 전체 범위</t>
        </is>
      </c>
      <c r="G58" s="29" t="inlineStr">
        <is>
          <t>scope=all, 타 사용자 신청도 집계에 포함</t>
        </is>
      </c>
      <c r="H58" s="28" t="inlineStr">
        <is>
          <t>Must</t>
        </is>
      </c>
      <c r="I58" s="30" t="n"/>
      <c r="J58" s="31">
        <f>IFERROR(INDEX('케이스별결과'!$B$4:$B$600,MATCH($A58,'케이스별결과'!$A$4:$A$600,0)),"미실행")</f>
        <v/>
      </c>
    </row>
    <row r="59">
      <c r="A59" s="27" t="inlineStr">
        <is>
          <t>IT-37</t>
        </is>
      </c>
      <c r="B59" s="27" t="inlineStr">
        <is>
          <t>통합</t>
        </is>
      </c>
      <c r="C59" s="27" t="inlineStr">
        <is>
          <t>FR-03</t>
        </is>
      </c>
      <c r="D59" s="28" t="inlineStr">
        <is>
          <t>SC-02</t>
        </is>
      </c>
      <c r="E59" s="27" t="inlineStr">
        <is>
          <t>보안</t>
        </is>
      </c>
      <c r="F59" s="29" t="inlineStr">
        <is>
          <t>GET /api/dashboard: 비밀번호/해시 비노출</t>
        </is>
      </c>
      <c r="G59" s="29" t="inlineStr">
        <is>
          <t>응답 본문에 password / hash 문자열 없음</t>
        </is>
      </c>
      <c r="H59" s="28" t="inlineStr">
        <is>
          <t>Must</t>
        </is>
      </c>
      <c r="I59" s="30" t="n"/>
      <c r="J59" s="31">
        <f>IFERROR(INDEX('케이스별결과'!$B$4:$B$600,MATCH($A59,'케이스별결과'!$A$4:$A$600,0)),"미실행")</f>
        <v/>
      </c>
    </row>
    <row r="60">
      <c r="A60" s="27" t="inlineStr">
        <is>
          <t>IT-38</t>
        </is>
      </c>
      <c r="B60" s="27" t="inlineStr">
        <is>
          <t>통합</t>
        </is>
      </c>
      <c r="C60" s="27" t="inlineStr">
        <is>
          <t>FR-03</t>
        </is>
      </c>
      <c r="D60" s="28" t="inlineStr">
        <is>
          <t>SC-02</t>
        </is>
      </c>
      <c r="E60" s="27" t="inlineStr">
        <is>
          <t>정상</t>
        </is>
      </c>
      <c r="F60" s="29" t="inlineStr">
        <is>
          <t>GET /api/dashboard: 데이터 변경 즉시 반영</t>
        </is>
      </c>
      <c r="G60" s="29" t="inlineStr">
        <is>
          <t>신청·위변조 의심 검증서 추가 후 재호출 시 건수·알림 증가</t>
        </is>
      </c>
      <c r="H60" s="28" t="inlineStr">
        <is>
          <t>Must</t>
        </is>
      </c>
      <c r="I60" s="30" t="n"/>
      <c r="J60" s="31">
        <f>IFERROR(INDEX('케이스별결과'!$B$4:$B$600,MATCH($A60,'케이스별결과'!$A$4:$A$600,0)),"미실행")</f>
        <v/>
      </c>
    </row>
    <row r="61">
      <c r="A61" s="27" t="inlineStr">
        <is>
          <t>IT-39</t>
        </is>
      </c>
      <c r="B61" s="27" t="inlineStr">
        <is>
          <t>통합</t>
        </is>
      </c>
      <c r="C61" s="27" t="inlineStr">
        <is>
          <t>FR-03</t>
        </is>
      </c>
      <c r="D61" s="28" t="inlineStr">
        <is>
          <t>SC-02</t>
        </is>
      </c>
      <c r="E61" s="27" t="inlineStr">
        <is>
          <t>정상</t>
        </is>
      </c>
      <c r="F61" s="29" t="inlineStr">
        <is>
          <t>GET /dashboard 페이지: 접근 제어와 화면 요소</t>
        </is>
      </c>
      <c r="G61" s="29" t="inlineStr">
        <is>
          <t>비로그인 302 → /, 로그인 시 #welcome/#kpi-in-progress/#recent-body/#notifications/#logout 포함</t>
        </is>
      </c>
      <c r="H61" s="28" t="inlineStr">
        <is>
          <t>Must</t>
        </is>
      </c>
      <c r="I61" s="30" t="n"/>
      <c r="J61" s="31">
        <f>IFERROR(INDEX('케이스별결과'!$B$4:$B$600,MATCH($A61,'케이스별결과'!$A$4:$A$600,0)),"미실행")</f>
        <v/>
      </c>
    </row>
    <row r="62">
      <c r="A62" s="27" t="inlineStr">
        <is>
          <t>IT-40</t>
        </is>
      </c>
      <c r="B62" s="27" t="inlineStr">
        <is>
          <t>통합</t>
        </is>
      </c>
      <c r="C62" s="27" t="inlineStr">
        <is>
          <t>FR-03</t>
        </is>
      </c>
      <c r="D62" s="28" t="inlineStr">
        <is>
          <t>SC-02</t>
        </is>
      </c>
      <c r="E62" s="27" t="inlineStr">
        <is>
          <t>비정상</t>
        </is>
      </c>
      <c r="F62" s="29" t="inlineStr">
        <is>
          <t>POST /api/dashboard: 허용되지 않은 메서드</t>
        </is>
      </c>
      <c r="G62" s="29" t="inlineStr">
        <is>
          <t>405 METHOD_NOT_ALLOWED JSON</t>
        </is>
      </c>
      <c r="H62" s="28" t="inlineStr">
        <is>
          <t>Must</t>
        </is>
      </c>
      <c r="I62" s="30" t="n"/>
      <c r="J62" s="31">
        <f>IFERROR(INDEX('케이스별결과'!$B$4:$B$600,MATCH($A62,'케이스별결과'!$A$4:$A$600,0)),"미실행")</f>
        <v/>
      </c>
    </row>
    <row r="63">
      <c r="A63" s="27" t="inlineStr">
        <is>
          <t>IT-41</t>
        </is>
      </c>
      <c r="B63" s="27" t="inlineStr">
        <is>
          <t>통합</t>
        </is>
      </c>
      <c r="C63" s="27" t="inlineStr">
        <is>
          <t>FR-03</t>
        </is>
      </c>
      <c r="D63" s="28" t="inlineStr">
        <is>
          <t>SC-04</t>
        </is>
      </c>
      <c r="E63" s="27" t="inlineStr">
        <is>
          <t>정상</t>
        </is>
      </c>
      <c r="F63" s="29" t="inlineStr">
        <is>
          <t>GET /cavp/apply 페이지: 접근 제어와 화면 요소</t>
        </is>
      </c>
      <c r="G63" s="29" t="inlineStr">
        <is>
          <t>비로그인 302 → /, 로그인 시 #algorithm/#submit-app/#apply-msg/#my-apps-body/#logout 포함</t>
        </is>
      </c>
      <c r="H63" s="28" t="inlineStr">
        <is>
          <t>Must</t>
        </is>
      </c>
      <c r="I63" s="30" t="n"/>
      <c r="J63" s="31">
        <f>IFERROR(INDEX('케이스별결과'!$B$4:$B$600,MATCH($A63,'케이스별결과'!$A$4:$A$600,0)),"미실행")</f>
        <v/>
      </c>
    </row>
    <row r="64">
      <c r="A64" s="27" t="inlineStr">
        <is>
          <t>IT-42</t>
        </is>
      </c>
      <c r="B64" s="27" t="inlineStr">
        <is>
          <t>통합</t>
        </is>
      </c>
      <c r="C64" s="27" t="inlineStr">
        <is>
          <t>FR-03</t>
        </is>
      </c>
      <c r="D64" s="28" t="inlineStr">
        <is>
          <t>SC-04</t>
        </is>
      </c>
      <c r="E64" s="27" t="inlineStr">
        <is>
          <t>정상</t>
        </is>
      </c>
      <c r="F64" s="29" t="inlineStr">
        <is>
          <t>대시보드의 신청 버튼/메뉴가 신청 화면으로 연결</t>
        </is>
      </c>
      <c r="G64" s="29" t="inlineStr">
        <is>
          <t>#new-app 이 /cavp/apply 로 이동, 사이드 메뉴에 /cavp/apply 링크</t>
        </is>
      </c>
      <c r="H64" s="28" t="inlineStr">
        <is>
          <t>Must</t>
        </is>
      </c>
      <c r="I64" s="30" t="n"/>
      <c r="J64" s="31">
        <f>IFERROR(INDEX('케이스별결과'!$B$4:$B$600,MATCH($A64,'케이스별결과'!$A$4:$A$600,0)),"미실행")</f>
        <v/>
      </c>
    </row>
    <row r="65">
      <c r="A65" s="27" t="inlineStr">
        <is>
          <t>IT-43</t>
        </is>
      </c>
      <c r="B65" s="27" t="inlineStr">
        <is>
          <t>통합</t>
        </is>
      </c>
      <c r="C65" s="27" t="inlineStr">
        <is>
          <t>FR-03</t>
        </is>
      </c>
      <c r="D65" s="28" t="inlineStr">
        <is>
          <t>SC-04</t>
        </is>
      </c>
      <c r="E65" s="27" t="inlineStr">
        <is>
          <t>정상</t>
        </is>
      </c>
      <c r="F65" s="29" t="inlineStr">
        <is>
          <t>GET /api/cavp/algorithms: 로그인 필요 + 허용 알고리즘 목록</t>
        </is>
      </c>
      <c r="G65" s="29" t="inlineStr">
        <is>
          <t>비로그인 401, 로그인 시 서비스의 ALGORITHMS 와 동일</t>
        </is>
      </c>
      <c r="H65" s="28" t="inlineStr">
        <is>
          <t>Must</t>
        </is>
      </c>
      <c r="I65" s="30" t="n"/>
      <c r="J65" s="31">
        <f>IFERROR(INDEX('케이스별결과'!$B$4:$B$600,MATCH($A65,'케이스별결과'!$A$4:$A$600,0)),"미실행")</f>
        <v/>
      </c>
    </row>
    <row r="66">
      <c r="A66" s="27" t="inlineStr">
        <is>
          <t>IT-44</t>
        </is>
      </c>
      <c r="B66" s="27" t="inlineStr">
        <is>
          <t>통합</t>
        </is>
      </c>
      <c r="C66" s="27" t="inlineStr">
        <is>
          <t>FR-03</t>
        </is>
      </c>
      <c r="D66" s="28" t="inlineStr">
        <is>
          <t>SC-04</t>
        </is>
      </c>
      <c r="E66" s="27" t="inlineStr">
        <is>
          <t>정상</t>
        </is>
      </c>
      <c r="F66" s="29" t="inlineStr">
        <is>
          <t>GET /cavp/status 페이지: 접근 제어와 화면 요소</t>
        </is>
      </c>
      <c r="G66" s="29" t="inlineStr">
        <is>
          <t>비로그인 302 → /, 로그인 시 #status-filter/#apps-body/#detail/#page-info/#logout 포함, 사이드 메뉴 연결</t>
        </is>
      </c>
      <c r="H66" s="28" t="inlineStr">
        <is>
          <t>Must</t>
        </is>
      </c>
      <c r="I66" s="30" t="n"/>
      <c r="J66" s="31">
        <f>IFERROR(INDEX('케이스별결과'!$B$4:$B$600,MATCH($A66,'케이스별결과'!$A$4:$A$600,0)),"미실행")</f>
        <v/>
      </c>
    </row>
    <row r="67">
      <c r="A67" s="27" t="inlineStr">
        <is>
          <t>IT-45</t>
        </is>
      </c>
      <c r="B67" s="27" t="inlineStr">
        <is>
          <t>통합</t>
        </is>
      </c>
      <c r="C67" s="27" t="inlineStr">
        <is>
          <t>FR-03</t>
        </is>
      </c>
      <c r="D67" s="28" t="inlineStr">
        <is>
          <t>SC-04</t>
        </is>
      </c>
      <c r="E67" s="27" t="inlineStr">
        <is>
          <t>보안</t>
        </is>
      </c>
      <c r="F67" s="29" t="inlineStr">
        <is>
          <t>기관 사용자의 신청 목록은 전체 범위, 일반 사용자는 본인 범위</t>
        </is>
      </c>
      <c r="G67" s="29" t="inlineStr">
        <is>
          <t>기관: scope=all 이고 타인 신청에 owner 표시, 일반: scope=own</t>
        </is>
      </c>
      <c r="H67" s="28" t="inlineStr">
        <is>
          <t>Must</t>
        </is>
      </c>
      <c r="I67" s="30" t="n"/>
      <c r="J67" s="31">
        <f>IFERROR(INDEX('케이스별결과'!$B$4:$B$600,MATCH($A67,'케이스별결과'!$A$4:$A$600,0)),"미실행")</f>
        <v/>
      </c>
    </row>
    <row r="68">
      <c r="A68" s="27" t="inlineStr">
        <is>
          <t>IT-ATK-01</t>
        </is>
      </c>
      <c r="B68" s="27" t="inlineStr">
        <is>
          <t>통합</t>
        </is>
      </c>
      <c r="C68" s="27" t="inlineStr">
        <is>
          <t>FR-01</t>
        </is>
      </c>
      <c r="D68" s="28" t="inlineStr">
        <is>
          <t>SC-01</t>
        </is>
      </c>
      <c r="E68" s="27" t="inlineStr">
        <is>
          <t>경계</t>
        </is>
      </c>
      <c r="F68" s="29" t="inlineStr">
        <is>
          <t>최대 길이(64자) 비밀번호에서 마지막 글자만 다른 비밀번호로 로그인</t>
        </is>
      </c>
      <c r="G68" s="29" t="inlineStr">
        <is>
          <t>다른 비밀번호는 로그인 실패(401), 원래 비밀번호는 성공</t>
        </is>
      </c>
      <c r="H68" s="28" t="inlineStr">
        <is>
          <t>Must</t>
        </is>
      </c>
      <c r="I68" s="30" t="n"/>
      <c r="J68" s="31">
        <f>IFERROR(INDEX('케이스별결과'!$B$4:$B$600,MATCH($A68,'케이스별결과'!$A$4:$A$600,0)),"미실행")</f>
        <v/>
      </c>
    </row>
    <row r="69">
      <c r="A69" s="27" t="inlineStr">
        <is>
          <t>IT-ATK-02</t>
        </is>
      </c>
      <c r="B69" s="27" t="inlineStr">
        <is>
          <t>통합</t>
        </is>
      </c>
      <c r="C69" s="27" t="inlineStr">
        <is>
          <t>FR-01</t>
        </is>
      </c>
      <c r="D69" s="28" t="inlineStr">
        <is>
          <t>SC-01</t>
        </is>
      </c>
      <c r="E69" s="27" t="inlineStr">
        <is>
          <t>보안</t>
        </is>
      </c>
      <c r="F69" s="29" t="inlineStr">
        <is>
          <t>한글 비밀번호의 바이트 한도(글자 수는 64자 이내지만 바이트는 72 초과)</t>
        </is>
      </c>
      <c r="G69" s="29" t="inlineStr">
        <is>
          <t>잘려서 같은 비밀번호로 취급되지 않는다(가입 거부 또는 로그인 401)</t>
        </is>
      </c>
      <c r="H69" s="28" t="inlineStr">
        <is>
          <t>Must</t>
        </is>
      </c>
      <c r="I69" s="30" t="n"/>
      <c r="J69" s="31">
        <f>IFERROR(INDEX('케이스별결과'!$B$4:$B$600,MATCH($A69,'케이스별결과'!$A$4:$A$600,0)),"미실행")</f>
        <v/>
      </c>
    </row>
    <row r="70">
      <c r="A70" s="27" t="inlineStr">
        <is>
          <t>IT-ATK-03</t>
        </is>
      </c>
      <c r="B70" s="27" t="inlineStr">
        <is>
          <t>통합</t>
        </is>
      </c>
      <c r="C70" s="27" t="inlineStr">
        <is>
          <t>FR-01</t>
        </is>
      </c>
      <c r="D70" s="28" t="inlineStr">
        <is>
          <t>SC-01</t>
        </is>
      </c>
      <c r="E70" s="27" t="inlineStr">
        <is>
          <t>비정상</t>
        </is>
      </c>
      <c r="F70" s="29" t="inlineStr">
        <is>
          <t>NUL 문자(\x00)가 든 비밀번호로 가입/로그인</t>
        </is>
      </c>
      <c r="G70" s="29" t="inlineStr">
        <is>
          <t>서버 오류(500) 없이 가입 400, 로그인 401</t>
        </is>
      </c>
      <c r="H70" s="28" t="inlineStr">
        <is>
          <t>Must</t>
        </is>
      </c>
      <c r="I70" s="30" t="n"/>
      <c r="J70" s="31">
        <f>IFERROR(INDEX('케이스별결과'!$B$4:$B$600,MATCH($A70,'케이스별결과'!$A$4:$A$600,0)),"미실행")</f>
        <v/>
      </c>
    </row>
    <row r="71">
      <c r="A71" s="27" t="inlineStr">
        <is>
          <t>IT-ATK-04</t>
        </is>
      </c>
      <c r="B71" s="27" t="inlineStr">
        <is>
          <t>통합</t>
        </is>
      </c>
      <c r="C71" s="27" t="inlineStr">
        <is>
          <t>FR-01</t>
        </is>
      </c>
      <c r="D71" s="28" t="inlineStr">
        <is>
          <t>SC-01</t>
        </is>
      </c>
      <c r="E71" s="27" t="inlineStr">
        <is>
          <t>경계</t>
        </is>
      </c>
      <c r="F71" s="29" t="inlineStr">
        <is>
          <t>유니코드 숫자(아라비아-인도 숫자 등)만으로 '숫자 1자 이상' 규칙 통과 시도</t>
        </is>
      </c>
      <c r="G71" s="29" t="inlineStr">
        <is>
          <t>ASCII 숫자가 없으면 400</t>
        </is>
      </c>
      <c r="H71" s="28" t="inlineStr">
        <is>
          <t>Must</t>
        </is>
      </c>
      <c r="I71" s="30" t="n"/>
      <c r="J71" s="31">
        <f>IFERROR(INDEX('케이스별결과'!$B$4:$B$600,MATCH($A71,'케이스별결과'!$A$4:$A$600,0)),"미실행")</f>
        <v/>
      </c>
    </row>
    <row r="72">
      <c r="A72" s="27" t="inlineStr">
        <is>
          <t>IT-ATK-05</t>
        </is>
      </c>
      <c r="B72" s="27" t="inlineStr">
        <is>
          <t>통합</t>
        </is>
      </c>
      <c r="C72" s="27" t="inlineStr">
        <is>
          <t>FR-01</t>
        </is>
      </c>
      <c r="D72" s="28" t="inlineStr">
        <is>
          <t>SC-01</t>
        </is>
      </c>
      <c r="E72" s="27" t="inlineStr">
        <is>
          <t>경계</t>
        </is>
      </c>
      <c r="F72" s="29" t="inlineStr">
        <is>
          <t>아이디 변형 입력: 줄바꿈·공백·전각 문자·제로폭 문자·길이 초과/미달</t>
        </is>
      </c>
      <c r="G72" s="29" t="inlineStr">
        <is>
          <t>모두 400, 사용자 생성 없음</t>
        </is>
      </c>
      <c r="H72" s="28" t="inlineStr">
        <is>
          <t>Must</t>
        </is>
      </c>
      <c r="I72" s="30" t="n"/>
      <c r="J72" s="31">
        <f>IFERROR(INDEX('케이스별결과'!$B$4:$B$600,MATCH($A72,'케이스별결과'!$A$4:$A$600,0)),"미실행")</f>
        <v/>
      </c>
    </row>
    <row r="73">
      <c r="A73" s="27" t="inlineStr">
        <is>
          <t>IT-ATK-06</t>
        </is>
      </c>
      <c r="B73" s="27" t="inlineStr">
        <is>
          <t>통합</t>
        </is>
      </c>
      <c r="C73" s="27" t="inlineStr">
        <is>
          <t>FR-01</t>
        </is>
      </c>
      <c r="D73" s="28" t="inlineStr">
        <is>
          <t>SC-01</t>
        </is>
      </c>
      <c r="E73" s="27" t="inlineStr">
        <is>
          <t>경계</t>
        </is>
      </c>
      <c r="F73" s="29" t="inlineStr">
        <is>
          <t>기관 코드에 비정상적으로 긴 문자열(1만 자)과 제어 문자</t>
        </is>
      </c>
      <c r="G73" s="29" t="inlineStr">
        <is>
          <t>설계서 VARCHAR(50) 한도를 넘으면 400, 사용자 생성 없음</t>
        </is>
      </c>
      <c r="H73" s="28" t="inlineStr">
        <is>
          <t>Must</t>
        </is>
      </c>
      <c r="I73" s="30" t="n"/>
      <c r="J73" s="31">
        <f>IFERROR(INDEX('케이스별결과'!$B$4:$B$600,MATCH($A73,'케이스별결과'!$A$4:$A$600,0)),"미실행")</f>
        <v/>
      </c>
    </row>
    <row r="74">
      <c r="A74" s="27" t="inlineStr">
        <is>
          <t>IT-ATK-07</t>
        </is>
      </c>
      <c r="B74" s="27" t="inlineStr">
        <is>
          <t>통합</t>
        </is>
      </c>
      <c r="C74" s="27" t="inlineStr">
        <is>
          <t>FR-01</t>
        </is>
      </c>
      <c r="D74" s="28" t="inlineStr">
        <is>
          <t>SC-01</t>
        </is>
      </c>
      <c r="E74" s="27" t="inlineStr">
        <is>
          <t>보안</t>
        </is>
      </c>
      <c r="F74" s="29" t="inlineStr">
        <is>
          <t>SQL 인젝션 문자열을 아이디/비밀번호에 입력</t>
        </is>
      </c>
      <c r="G74" s="29" t="inlineStr">
        <is>
          <t>가입 400, 로그인 401, users 테이블 변화 없음</t>
        </is>
      </c>
      <c r="H74" s="28" t="inlineStr">
        <is>
          <t>Must</t>
        </is>
      </c>
      <c r="I74" s="30" t="n"/>
      <c r="J74" s="31">
        <f>IFERROR(INDEX('케이스별결과'!$B$4:$B$600,MATCH($A74,'케이스별결과'!$A$4:$A$600,0)),"미실행")</f>
        <v/>
      </c>
    </row>
    <row r="75">
      <c r="A75" s="27" t="inlineStr">
        <is>
          <t>IT-ATK-08</t>
        </is>
      </c>
      <c r="B75" s="27" t="inlineStr">
        <is>
          <t>통합</t>
        </is>
      </c>
      <c r="C75" s="27" t="inlineStr">
        <is>
          <t>FR-01</t>
        </is>
      </c>
      <c r="D75" s="28" t="inlineStr">
        <is>
          <t>SC-01</t>
        </is>
      </c>
      <c r="E75" s="27" t="inlineStr">
        <is>
          <t>비정상</t>
        </is>
      </c>
      <c r="F75" s="29" t="inlineStr">
        <is>
          <t>필드 타입 혼동(문자열 자리에 배열·객체·숫자·null)</t>
        </is>
      </c>
      <c r="G75" s="29" t="inlineStr">
        <is>
          <t>서버 오류 없이 가입 400 / 로그인 401</t>
        </is>
      </c>
      <c r="H75" s="28" t="inlineStr">
        <is>
          <t>Must</t>
        </is>
      </c>
      <c r="I75" s="30" t="n"/>
      <c r="J75" s="31">
        <f>IFERROR(INDEX('케이스별결과'!$B$4:$B$600,MATCH($A75,'케이스별결과'!$A$4:$A$600,0)),"미실행")</f>
        <v/>
      </c>
    </row>
    <row r="76">
      <c r="A76" s="27" t="inlineStr">
        <is>
          <t>IT-ATK-09</t>
        </is>
      </c>
      <c r="B76" s="27" t="inlineStr">
        <is>
          <t>통합</t>
        </is>
      </c>
      <c r="C76" s="27" t="inlineStr">
        <is>
          <t>FR-01</t>
        </is>
      </c>
      <c r="D76" s="28" t="inlineStr">
        <is>
          <t>SC-01</t>
        </is>
      </c>
      <c r="E76" s="27" t="inlineStr">
        <is>
          <t>비정상</t>
        </is>
      </c>
      <c r="F76" s="29" t="inlineStr">
        <is>
          <t>깊게 중첩된 JSON 본문(3만 단계, 크기 제한 이내)</t>
        </is>
      </c>
      <c r="G76" s="29" t="inlineStr">
        <is>
          <t>서버 오류(500) 없이 400</t>
        </is>
      </c>
      <c r="H76" s="28" t="inlineStr">
        <is>
          <t>Must</t>
        </is>
      </c>
      <c r="I76" s="30" t="n"/>
      <c r="J76" s="31">
        <f>IFERROR(INDEX('케이스별결과'!$B$4:$B$600,MATCH($A76,'케이스별결과'!$A$4:$A$600,0)),"미실행")</f>
        <v/>
      </c>
    </row>
    <row r="77">
      <c r="A77" s="27" t="inlineStr">
        <is>
          <t>IT-ATK-10</t>
        </is>
      </c>
      <c r="B77" s="27" t="inlineStr">
        <is>
          <t>통합</t>
        </is>
      </c>
      <c r="C77" s="27" t="inlineStr">
        <is>
          <t>FR-01</t>
        </is>
      </c>
      <c r="D77" s="28" t="inlineStr">
        <is>
          <t>SC-01</t>
        </is>
      </c>
      <c r="E77" s="27" t="inlineStr">
        <is>
          <t>비정상</t>
        </is>
      </c>
      <c r="F77" s="29" t="inlineStr">
        <is>
          <t>JSON이 아닌 요청(form, 빈 본문, 배열, 문자열)</t>
        </is>
      </c>
      <c r="G77" s="29" t="inlineStr">
        <is>
          <t>모두 400 JSON 오류 형식</t>
        </is>
      </c>
      <c r="H77" s="28" t="inlineStr">
        <is>
          <t>Must</t>
        </is>
      </c>
      <c r="I77" s="30" t="n"/>
      <c r="J77" s="31">
        <f>IFERROR(INDEX('케이스별결과'!$B$4:$B$600,MATCH($A77,'케이스별결과'!$A$4:$A$600,0)),"미실행")</f>
        <v/>
      </c>
    </row>
    <row r="78">
      <c r="A78" s="27" t="inlineStr">
        <is>
          <t>IT-ATK-11</t>
        </is>
      </c>
      <c r="B78" s="27" t="inlineStr">
        <is>
          <t>통합</t>
        </is>
      </c>
      <c r="C78" s="27" t="inlineStr">
        <is>
          <t>FR-01</t>
        </is>
      </c>
      <c r="D78" s="28" t="inlineStr">
        <is>
          <t>SC-01</t>
        </is>
      </c>
      <c r="E78" s="27" t="inlineStr">
        <is>
          <t>경계</t>
        </is>
      </c>
      <c r="F78" s="29" t="inlineStr">
        <is>
          <t>2MB 크기의 요청 본문</t>
        </is>
      </c>
      <c r="G78" s="29" t="inlineStr">
        <is>
          <t>본문 크기 제한으로 413 거부</t>
        </is>
      </c>
      <c r="H78" s="28" t="inlineStr">
        <is>
          <t>Must</t>
        </is>
      </c>
      <c r="I78" s="30" t="n"/>
      <c r="J78" s="31">
        <f>IFERROR(INDEX('케이스별결과'!$B$4:$B$600,MATCH($A78,'케이스별결과'!$A$4:$A$600,0)),"미실행")</f>
        <v/>
      </c>
    </row>
    <row r="79">
      <c r="A79" s="27" t="inlineStr">
        <is>
          <t>IT-ATK-12</t>
        </is>
      </c>
      <c r="B79" s="27" t="inlineStr">
        <is>
          <t>통합</t>
        </is>
      </c>
      <c r="C79" s="27" t="inlineStr">
        <is>
          <t>FR-01</t>
        </is>
      </c>
      <c r="D79" s="28" t="inlineStr">
        <is>
          <t>SC-01</t>
        </is>
      </c>
      <c r="E79" s="27" t="inlineStr">
        <is>
          <t>보안</t>
        </is>
      </c>
      <c r="F79" s="29" t="inlineStr">
        <is>
          <t>같은 계정에 비밀번호를 연속으로 틀려 입력(무차별 대입)</t>
        </is>
      </c>
      <c r="G79" s="29" t="inlineStr">
        <is>
          <t>일정 횟수 뒤 429 등으로 제한되고, 제한 중에는 올바른 비밀번호도 거부</t>
        </is>
      </c>
      <c r="H79" s="28" t="inlineStr">
        <is>
          <t>Must</t>
        </is>
      </c>
      <c r="I79" s="30" t="n"/>
      <c r="J79" s="31">
        <f>IFERROR(INDEX('케이스별결과'!$B$4:$B$600,MATCH($A79,'케이스별결과'!$A$4:$A$600,0)),"미실행")</f>
        <v/>
      </c>
    </row>
    <row r="80">
      <c r="A80" s="27" t="inlineStr">
        <is>
          <t>IT-ATK-13</t>
        </is>
      </c>
      <c r="B80" s="27" t="inlineStr">
        <is>
          <t>통합</t>
        </is>
      </c>
      <c r="C80" s="27" t="inlineStr">
        <is>
          <t>FR-01</t>
        </is>
      </c>
      <c r="D80" s="28" t="inlineStr">
        <is>
          <t>SC-01</t>
        </is>
      </c>
      <c r="E80" s="27" t="inlineStr">
        <is>
          <t>보안</t>
        </is>
      </c>
      <c r="F80" s="29" t="inlineStr">
        <is>
          <t>로그아웃 전에 훔친 세션 쿠키를 로그아웃 후 재사용</t>
        </is>
      </c>
      <c r="G80" s="29" t="inlineStr">
        <is>
          <t>로그아웃한 세션은 서버에서 무효 → 401</t>
        </is>
      </c>
      <c r="H80" s="28" t="inlineStr">
        <is>
          <t>Must</t>
        </is>
      </c>
      <c r="I80" s="30" t="n"/>
      <c r="J80" s="31">
        <f>IFERROR(INDEX('케이스별결과'!$B$4:$B$600,MATCH($A80,'케이스별결과'!$A$4:$A$600,0)),"미실행")</f>
        <v/>
      </c>
    </row>
    <row r="81">
      <c r="A81" s="27" t="inlineStr">
        <is>
          <t>IT-ATK-14</t>
        </is>
      </c>
      <c r="B81" s="27" t="inlineStr">
        <is>
          <t>통합</t>
        </is>
      </c>
      <c r="C81" s="27" t="inlineStr">
        <is>
          <t>FR-01</t>
        </is>
      </c>
      <c r="D81" s="28" t="inlineStr">
        <is>
          <t>SC-01</t>
        </is>
      </c>
      <c r="E81" s="27" t="inlineStr">
        <is>
          <t>보안</t>
        </is>
      </c>
      <c r="F81" s="29" t="inlineStr">
        <is>
          <t>기본 비밀키(dev-secret-change-me)로 세션 쿠키 위조</t>
        </is>
      </c>
      <c r="G81" s="29" t="inlineStr">
        <is>
          <t>운영 구성에서 기본 키로는 서버가 뜨지 않거나, 위조 쿠키는 거부(401)</t>
        </is>
      </c>
      <c r="H81" s="28" t="inlineStr">
        <is>
          <t>Must</t>
        </is>
      </c>
      <c r="I81" s="30" t="n"/>
      <c r="J81" s="31">
        <f>IFERROR(INDEX('케이스별결과'!$B$4:$B$600,MATCH($A81,'케이스별결과'!$A$4:$A$600,0)),"미실행")</f>
        <v/>
      </c>
    </row>
    <row r="82">
      <c r="A82" s="27" t="inlineStr">
        <is>
          <t>IT-ATK-15</t>
        </is>
      </c>
      <c r="B82" s="27" t="inlineStr">
        <is>
          <t>통합</t>
        </is>
      </c>
      <c r="C82" s="27" t="inlineStr">
        <is>
          <t>FR-01</t>
        </is>
      </c>
      <c r="D82" s="28" t="inlineStr">
        <is>
          <t>SC-01</t>
        </is>
      </c>
      <c r="E82" s="27" t="inlineStr">
        <is>
          <t>보안</t>
        </is>
      </c>
      <c r="F82" s="29" t="inlineStr">
        <is>
          <t>응답 보안 헤더(nosniff, 프레임 삽입 차단)</t>
        </is>
      </c>
      <c r="G82" s="29" t="inlineStr">
        <is>
          <t>X-Content-Type-Options: nosniff, X-Frame-Options 또는 CSP frame-ancestors</t>
        </is>
      </c>
      <c r="H82" s="28" t="inlineStr">
        <is>
          <t>Must</t>
        </is>
      </c>
      <c r="I82" s="30" t="n"/>
      <c r="J82" s="31">
        <f>IFERROR(INDEX('케이스별결과'!$B$4:$B$600,MATCH($A82,'케이스별결과'!$A$4:$A$600,0)),"미실행")</f>
        <v/>
      </c>
    </row>
    <row r="83">
      <c r="A83" s="27" t="inlineStr">
        <is>
          <t>IT-ATK-16</t>
        </is>
      </c>
      <c r="B83" s="27" t="inlineStr">
        <is>
          <t>통합</t>
        </is>
      </c>
      <c r="C83" s="27" t="inlineStr">
        <is>
          <t>FR-01</t>
        </is>
      </c>
      <c r="D83" s="28" t="inlineStr">
        <is>
          <t>SC-01</t>
        </is>
      </c>
      <c r="E83" s="27" t="inlineStr">
        <is>
          <t>보안</t>
        </is>
      </c>
      <c r="F83" s="29" t="inlineStr">
        <is>
          <t>세션 쿠키 속성: HttpOnly·SameSite·Secure</t>
        </is>
      </c>
      <c r="G83" s="29" t="inlineStr">
        <is>
          <t>운영 설정에서 세 속성이 모두 켜짐</t>
        </is>
      </c>
      <c r="H83" s="28" t="inlineStr">
        <is>
          <t>Must</t>
        </is>
      </c>
      <c r="I83" s="30" t="n"/>
      <c r="J83" s="31">
        <f>IFERROR(INDEX('케이스별결과'!$B$4:$B$600,MATCH($A83,'케이스별결과'!$A$4:$A$600,0)),"미실행")</f>
        <v/>
      </c>
    </row>
    <row r="84">
      <c r="A84" s="27" t="inlineStr">
        <is>
          <t>IT-ATK-17</t>
        </is>
      </c>
      <c r="B84" s="27" t="inlineStr">
        <is>
          <t>통합</t>
        </is>
      </c>
      <c r="C84" s="27" t="inlineStr">
        <is>
          <t>FR-01</t>
        </is>
      </c>
      <c r="D84" s="28" t="inlineStr">
        <is>
          <t>SC-01</t>
        </is>
      </c>
      <c r="E84" s="27" t="inlineStr">
        <is>
          <t>보안</t>
        </is>
      </c>
      <c r="F84" s="29" t="inlineStr">
        <is>
          <t>로그인 실패 응답의 계정 존재 여부 은닉</t>
        </is>
      </c>
      <c r="G84" s="29" t="inlineStr">
        <is>
          <t>없는 아이디와 틀린 비밀번호의 응답(상태·본문)이 동일</t>
        </is>
      </c>
      <c r="H84" s="28" t="inlineStr">
        <is>
          <t>Must</t>
        </is>
      </c>
      <c r="I84" s="30" t="n"/>
      <c r="J84" s="31">
        <f>IFERROR(INDEX('케이스별결과'!$B$4:$B$600,MATCH($A84,'케이스별결과'!$A$4:$A$600,0)),"미실행")</f>
        <v/>
      </c>
    </row>
    <row r="85">
      <c r="A85" s="27" t="inlineStr">
        <is>
          <t>IT-ATK-18</t>
        </is>
      </c>
      <c r="B85" s="27" t="inlineStr">
        <is>
          <t>통합</t>
        </is>
      </c>
      <c r="C85" s="27" t="inlineStr">
        <is>
          <t>FR-03</t>
        </is>
      </c>
      <c r="D85" s="28" t="inlineStr">
        <is>
          <t>SC-04</t>
        </is>
      </c>
      <c r="E85" s="27" t="inlineStr">
        <is>
          <t>보안</t>
        </is>
      </c>
      <c r="F85" s="29" t="inlineStr">
        <is>
          <t>대시보드 요청에 user_id/scope 쿼리를 붙여 타인·전체 범위 요청</t>
        </is>
      </c>
      <c r="G85" s="29" t="inlineStr">
        <is>
          <t>쿼리는 무시되고 로그인 사용자 본인 범위만 반환</t>
        </is>
      </c>
      <c r="H85" s="28" t="inlineStr">
        <is>
          <t>Must</t>
        </is>
      </c>
      <c r="I85" s="30" t="n"/>
      <c r="J85" s="31">
        <f>IFERROR(INDEX('케이스별결과'!$B$4:$B$600,MATCH($A85,'케이스별결과'!$A$4:$A$600,0)),"미실행")</f>
        <v/>
      </c>
    </row>
    <row r="86">
      <c r="A86" s="27" t="inlineStr">
        <is>
          <t>IT-ATK-19</t>
        </is>
      </c>
      <c r="B86" s="27" t="inlineStr">
        <is>
          <t>통합</t>
        </is>
      </c>
      <c r="C86" s="27" t="inlineStr">
        <is>
          <t>FR-03</t>
        </is>
      </c>
      <c r="D86" s="28" t="inlineStr">
        <is>
          <t>SC-04</t>
        </is>
      </c>
      <c r="E86" s="27" t="inlineStr">
        <is>
          <t>보안</t>
        </is>
      </c>
      <c r="F86" s="29" t="inlineStr">
        <is>
          <t>대시보드 접근에 변조된 세션(존재하지 않는 user_id)</t>
        </is>
      </c>
      <c r="G86" s="29" t="inlineStr">
        <is>
          <t>401 이고 세션이 정리됨</t>
        </is>
      </c>
      <c r="H86" s="28" t="inlineStr">
        <is>
          <t>Must</t>
        </is>
      </c>
      <c r="I86" s="30" t="n"/>
      <c r="J86" s="31">
        <f>IFERROR(INDEX('케이스별결과'!$B$4:$B$600,MATCH($A86,'케이스별결과'!$A$4:$A$600,0)),"미실행")</f>
        <v/>
      </c>
    </row>
    <row r="87">
      <c r="A87" s="27" t="inlineStr">
        <is>
          <t>IT-ATK-20</t>
        </is>
      </c>
      <c r="B87" s="27" t="inlineStr">
        <is>
          <t>통합</t>
        </is>
      </c>
      <c r="C87" s="27" t="inlineStr">
        <is>
          <t>FR-01</t>
        </is>
      </c>
      <c r="D87" s="28" t="inlineStr">
        <is>
          <t>SC-01</t>
        </is>
      </c>
      <c r="E87" s="27" t="inlineStr">
        <is>
          <t>경계</t>
        </is>
      </c>
      <c r="F87" s="29" t="inlineStr">
        <is>
          <t>같은 아이디로 12개 요청을 동시에 가입</t>
        </is>
      </c>
      <c r="G87" s="29" t="inlineStr">
        <is>
          <t>정확히 1건 201, 나머지 409, 서버 오류(500) 없음, users 1건</t>
        </is>
      </c>
      <c r="H87" s="28" t="inlineStr">
        <is>
          <t>Must</t>
        </is>
      </c>
      <c r="I87" s="30" t="n"/>
      <c r="J87" s="31">
        <f>IFERROR(INDEX('케이스별결과'!$B$4:$B$600,MATCH($A87,'케이스별결과'!$A$4:$A$600,0)),"미실행")</f>
        <v/>
      </c>
    </row>
    <row r="88">
      <c r="A88" s="27" t="inlineStr">
        <is>
          <t>IT-ATK-21</t>
        </is>
      </c>
      <c r="B88" s="27" t="inlineStr">
        <is>
          <t>통합</t>
        </is>
      </c>
      <c r="C88" s="27" t="inlineStr">
        <is>
          <t>FR-03</t>
        </is>
      </c>
      <c r="D88" s="28" t="inlineStr">
        <is>
          <t>SC-04</t>
        </is>
      </c>
      <c r="E88" s="27" t="inlineStr">
        <is>
          <t>경계</t>
        </is>
      </c>
      <c r="F88" s="29" t="inlineStr">
        <is>
          <t>같은 사용자가 같은 알고리즘을 16개 요청으로 동시에 신청</t>
        </is>
      </c>
      <c r="G88" s="29" t="inlineStr">
        <is>
          <t>201 은 정확히 1건, 나머지 409, 서버 오류 없음, 신청 1건만 저장</t>
        </is>
      </c>
      <c r="H88" s="28" t="inlineStr">
        <is>
          <t>Must</t>
        </is>
      </c>
      <c r="I88" s="30" t="n"/>
      <c r="J88" s="31">
        <f>IFERROR(INDEX('케이스별결과'!$B$4:$B$600,MATCH($A88,'케이스별결과'!$A$4:$A$600,0)),"미실행")</f>
        <v/>
      </c>
    </row>
    <row r="89">
      <c r="A89" s="27" t="inlineStr">
        <is>
          <t>IT-ATK-22</t>
        </is>
      </c>
      <c r="B89" s="27" t="inlineStr">
        <is>
          <t>통합</t>
        </is>
      </c>
      <c r="C89" s="27" t="inlineStr">
        <is>
          <t>FR-03</t>
        </is>
      </c>
      <c r="D89" s="28" t="inlineStr">
        <is>
          <t>SC-04</t>
        </is>
      </c>
      <c r="E89" s="27" t="inlineStr">
        <is>
          <t>경계</t>
        </is>
      </c>
      <c r="F89" s="29" t="inlineStr">
        <is>
          <t>기관 사용자 둘이 같은 심사중 신청을 동시에 승인/반려(각 6건씩, 5라운드 반복)</t>
        </is>
      </c>
      <c r="G89" s="29" t="inlineStr">
        <is>
          <t>라운드마다 200 은 정확히 1건, 나머지 409(INVALID_TRANSITION), 최종 상태는 이긴 요청의 값, 서버 오류 없음</t>
        </is>
      </c>
      <c r="H89" s="28" t="inlineStr">
        <is>
          <t>Must</t>
        </is>
      </c>
      <c r="I89" s="30" t="n"/>
      <c r="J89" s="31">
        <f>IFERROR(INDEX('케이스별결과'!$B$4:$B$600,MATCH($A89,'케이스별결과'!$A$4:$A$600,0)),"미실행")</f>
        <v/>
      </c>
    </row>
    <row r="90">
      <c r="A90" s="27" t="inlineStr">
        <is>
          <t>IT-ATK-23</t>
        </is>
      </c>
      <c r="B90" s="27" t="inlineStr">
        <is>
          <t>통합</t>
        </is>
      </c>
      <c r="C90" s="27" t="inlineStr">
        <is>
          <t>FR-03</t>
        </is>
      </c>
      <c r="D90" s="28" t="inlineStr">
        <is>
          <t>SC-04</t>
        </is>
      </c>
      <c r="E90" s="27" t="inlineStr">
        <is>
          <t>경계</t>
        </is>
      </c>
      <c r="F90" s="29" t="inlineStr">
        <is>
          <t>한 사용자가 서로 다른 알고리즘 7종을 동시에 신청</t>
        </is>
      </c>
      <c r="G90" s="29" t="inlineStr">
        <is>
          <t>7건 모두 201, 서버 오류(DB 잠김 등) 없음, 7건 저장</t>
        </is>
      </c>
      <c r="H90" s="28" t="inlineStr">
        <is>
          <t>Must</t>
        </is>
      </c>
      <c r="I90" s="30" t="n"/>
      <c r="J90" s="31">
        <f>IFERROR(INDEX('케이스별결과'!$B$4:$B$600,MATCH($A90,'케이스별결과'!$A$4:$A$600,0)),"미실행")</f>
        <v/>
      </c>
    </row>
    <row r="91">
      <c r="A91" s="27" t="inlineStr">
        <is>
          <t>IT-ATK-24</t>
        </is>
      </c>
      <c r="B91" s="27" t="inlineStr">
        <is>
          <t>통합</t>
        </is>
      </c>
      <c r="C91" s="27" t="inlineStr">
        <is>
          <t>FR-01</t>
        </is>
      </c>
      <c r="D91" s="28" t="inlineStr">
        <is>
          <t>SC-01</t>
        </is>
      </c>
      <c r="E91" s="27" t="inlineStr">
        <is>
          <t>보안</t>
        </is>
      </c>
      <c r="F91" s="29" t="inlineStr">
        <is>
          <t>같은 계정에 틀린 비밀번호를 24개 요청으로 동시에 시도</t>
        </is>
      </c>
      <c r="G91" s="29" t="inlineStr">
        <is>
          <t>로그인 시도 제한(5회)이 동시 요청에도 적용되어, 실제로 비밀번호를 검사하는 요청은 5건 이하</t>
        </is>
      </c>
      <c r="H91" s="28" t="inlineStr">
        <is>
          <t>Must</t>
        </is>
      </c>
      <c r="I91" s="30" t="n"/>
      <c r="J91" s="31">
        <f>IFERROR(INDEX('케이스별결과'!$B$4:$B$600,MATCH($A91,'케이스별결과'!$A$4:$A$600,0)),"미실행")</f>
        <v/>
      </c>
    </row>
    <row r="92">
      <c r="A92" s="27" t="inlineStr">
        <is>
          <t>UT-ATK-01</t>
        </is>
      </c>
      <c r="B92" s="27" t="inlineStr">
        <is>
          <t>단위</t>
        </is>
      </c>
      <c r="C92" s="27" t="inlineStr">
        <is>
          <t>FR-01</t>
        </is>
      </c>
      <c r="D92" s="28" t="inlineStr">
        <is>
          <t>SC-01</t>
        </is>
      </c>
      <c r="E92" s="27" t="inlineStr">
        <is>
          <t>경계</t>
        </is>
      </c>
      <c r="F92" s="29" t="inlineStr">
        <is>
          <t>LoginThrottle: 5회 실패 전까지는 막지 않고 5회째부터 차단</t>
        </is>
      </c>
      <c r="G92" s="29" t="inlineStr">
        <is>
          <t>4회 실패 후 차단 아님, 5회 후 차단</t>
        </is>
      </c>
      <c r="H92" s="28" t="inlineStr">
        <is>
          <t>Must</t>
        </is>
      </c>
      <c r="I92" s="30" t="n"/>
      <c r="J92" s="31">
        <f>IFERROR(INDEX('케이스별결과'!$B$4:$B$600,MATCH($A92,'케이스별결과'!$A$4:$A$600,0)),"미실행")</f>
        <v/>
      </c>
    </row>
    <row r="93">
      <c r="A93" s="27" t="inlineStr">
        <is>
          <t>UT-ATK-02</t>
        </is>
      </c>
      <c r="B93" s="27" t="inlineStr">
        <is>
          <t>단위</t>
        </is>
      </c>
      <c r="C93" s="27" t="inlineStr">
        <is>
          <t>FR-01</t>
        </is>
      </c>
      <c r="D93" s="28" t="inlineStr">
        <is>
          <t>SC-01</t>
        </is>
      </c>
      <c r="E93" s="27" t="inlineStr">
        <is>
          <t>경계</t>
        </is>
      </c>
      <c r="F93" s="29" t="inlineStr">
        <is>
          <t>LoginThrottle: 시간이 지나면 풀리고, 성공하면 초기화되며, 아이디는 대소문자 무관/서로 독립</t>
        </is>
      </c>
      <c r="G93" s="29" t="inlineStr">
        <is>
          <t>15분 경과 후 해제, reset 후 해제, ALICE01 도 같은 계정으로 계산, 다른 아이디는 영향 없음</t>
        </is>
      </c>
      <c r="H93" s="28" t="inlineStr">
        <is>
          <t>Must</t>
        </is>
      </c>
      <c r="I93" s="30" t="n"/>
      <c r="J93" s="31">
        <f>IFERROR(INDEX('케이스별결과'!$B$4:$B$600,MATCH($A93,'케이스별결과'!$A$4:$A$600,0)),"미실행")</f>
        <v/>
      </c>
    </row>
    <row r="94">
      <c r="A94" s="27" t="inlineStr">
        <is>
          <t>UT-ATK-03</t>
        </is>
      </c>
      <c r="B94" s="27" t="inlineStr">
        <is>
          <t>단위</t>
        </is>
      </c>
      <c r="C94" s="27" t="inlineStr">
        <is>
          <t>FR-01</t>
        </is>
      </c>
      <c r="D94" s="28" t="inlineStr">
        <is>
          <t>SC-01</t>
        </is>
      </c>
      <c r="E94" s="27" t="inlineStr">
        <is>
          <t>경계</t>
        </is>
      </c>
      <c r="F94" s="29" t="inlineStr">
        <is>
          <t>LoginThrottle: 서로 다른 아이디를 대량으로 시도해도 기억하는 개수가 상한을 넘지 않음</t>
        </is>
      </c>
      <c r="G94" s="29" t="inlineStr">
        <is>
          <t>max_keys 이하로 유지</t>
        </is>
      </c>
      <c r="H94" s="28" t="inlineStr">
        <is>
          <t>Must</t>
        </is>
      </c>
      <c r="I94" s="30" t="n"/>
      <c r="J94" s="31">
        <f>IFERROR(INDEX('케이스별결과'!$B$4:$B$600,MATCH($A94,'케이스별결과'!$A$4:$A$600,0)),"미실행")</f>
        <v/>
      </c>
    </row>
    <row r="95">
      <c r="A95" s="27" t="inlineStr">
        <is>
          <t>UT-ATK-04</t>
        </is>
      </c>
      <c r="B95" s="27" t="inlineStr">
        <is>
          <t>단위</t>
        </is>
      </c>
      <c r="C95" s="27" t="inlineStr">
        <is>
          <t>FR-01</t>
        </is>
      </c>
      <c r="D95" s="28" t="inlineStr">
        <is>
          <t>SC-01</t>
        </is>
      </c>
      <c r="E95" s="27" t="inlineStr">
        <is>
          <t>보안</t>
        </is>
      </c>
      <c r="F95" s="29" t="inlineStr">
        <is>
          <t>LoginThrottle.try_acquire: 검사와 기록이 한 번에 처리되어 한도(5)를 넘는 시도는 모두 거부</t>
        </is>
      </c>
      <c r="G95" s="29" t="inlineStr">
        <is>
          <t>처음 5번은 True, 이후는 False, 아이디가 달라도 대소문자 무관, reset 후 다시 허용</t>
        </is>
      </c>
      <c r="H95" s="28" t="inlineStr">
        <is>
          <t>Must</t>
        </is>
      </c>
      <c r="I95" s="30" t="n"/>
      <c r="J95" s="31">
        <f>IFERROR(INDEX('케이스별결과'!$B$4:$B$600,MATCH($A95,'케이스별결과'!$A$4:$A$600,0)),"미실행")</f>
        <v/>
      </c>
    </row>
    <row r="96">
      <c r="A96" s="27" t="inlineStr">
        <is>
          <t>UT-AUTH-01</t>
        </is>
      </c>
      <c r="B96" s="27" t="inlineStr">
        <is>
          <t>단위</t>
        </is>
      </c>
      <c r="C96" s="27" t="inlineStr">
        <is>
          <t>FR-01</t>
        </is>
      </c>
      <c r="D96" s="28" t="inlineStr">
        <is>
          <t>SC-01</t>
        </is>
      </c>
      <c r="E96" s="27" t="inlineStr">
        <is>
          <t>정상</t>
        </is>
      </c>
      <c r="F96" s="29" t="inlineStr">
        <is>
          <t>hash_password: 원문과 다른 bcrypt 해시</t>
        </is>
      </c>
      <c r="G96" s="29" t="inlineStr">
        <is>
          <t>원문과 다르며 '$2' 로 시작하는 bcrypt 해시 문자열</t>
        </is>
      </c>
      <c r="H96" s="28" t="inlineStr">
        <is>
          <t>Must</t>
        </is>
      </c>
      <c r="I96" s="30" t="n"/>
      <c r="J96" s="31">
        <f>IFERROR(INDEX('케이스별결과'!$B$4:$B$600,MATCH($A96,'케이스별결과'!$A$4:$A$600,0)),"미실행")</f>
        <v/>
      </c>
    </row>
    <row r="97">
      <c r="A97" s="27" t="inlineStr">
        <is>
          <t>UT-AUTH-02</t>
        </is>
      </c>
      <c r="B97" s="27" t="inlineStr">
        <is>
          <t>단위</t>
        </is>
      </c>
      <c r="C97" s="27" t="inlineStr">
        <is>
          <t>FR-01</t>
        </is>
      </c>
      <c r="D97" s="28" t="inlineStr">
        <is>
          <t>SC-01</t>
        </is>
      </c>
      <c r="E97" s="27" t="inlineStr">
        <is>
          <t>정상</t>
        </is>
      </c>
      <c r="F97" s="29" t="inlineStr">
        <is>
          <t>hash_password: 동일 입력도 salt 로 매번 다른 해시</t>
        </is>
      </c>
      <c r="G97" s="29" t="inlineStr">
        <is>
          <t>두 번 호출한 해시가 서로 다름</t>
        </is>
      </c>
      <c r="H97" s="28" t="inlineStr">
        <is>
          <t>Must</t>
        </is>
      </c>
      <c r="I97" s="30" t="n"/>
      <c r="J97" s="31">
        <f>IFERROR(INDEX('케이스별결과'!$B$4:$B$600,MATCH($A97,'케이스별결과'!$A$4:$A$600,0)),"미실행")</f>
        <v/>
      </c>
    </row>
    <row r="98">
      <c r="A98" s="27" t="inlineStr">
        <is>
          <t>UT-AUTH-03</t>
        </is>
      </c>
      <c r="B98" s="27" t="inlineStr">
        <is>
          <t>단위</t>
        </is>
      </c>
      <c r="C98" s="27" t="inlineStr">
        <is>
          <t>FR-01</t>
        </is>
      </c>
      <c r="D98" s="28" t="inlineStr">
        <is>
          <t>SC-01</t>
        </is>
      </c>
      <c r="E98" s="27" t="inlineStr">
        <is>
          <t>정상</t>
        </is>
      </c>
      <c r="F98" s="29" t="inlineStr">
        <is>
          <t>verify_password: 올바른 평문</t>
        </is>
      </c>
      <c r="G98" s="29" t="inlineStr">
        <is>
          <t>True</t>
        </is>
      </c>
      <c r="H98" s="28" t="inlineStr">
        <is>
          <t>Must</t>
        </is>
      </c>
      <c r="I98" s="30" t="n"/>
      <c r="J98" s="31">
        <f>IFERROR(INDEX('케이스별결과'!$B$4:$B$600,MATCH($A98,'케이스별결과'!$A$4:$A$600,0)),"미실행")</f>
        <v/>
      </c>
    </row>
    <row r="99">
      <c r="A99" s="27" t="inlineStr">
        <is>
          <t>UT-AUTH-04</t>
        </is>
      </c>
      <c r="B99" s="27" t="inlineStr">
        <is>
          <t>단위</t>
        </is>
      </c>
      <c r="C99" s="27" t="inlineStr">
        <is>
          <t>FR-01</t>
        </is>
      </c>
      <c r="D99" s="28" t="inlineStr">
        <is>
          <t>SC-01</t>
        </is>
      </c>
      <c r="E99" s="27" t="inlineStr">
        <is>
          <t>비정상</t>
        </is>
      </c>
      <c r="F99" s="29" t="inlineStr">
        <is>
          <t>verify_password: 잘못된 평문</t>
        </is>
      </c>
      <c r="G99" s="29" t="inlineStr">
        <is>
          <t>False</t>
        </is>
      </c>
      <c r="H99" s="28" t="inlineStr">
        <is>
          <t>Must</t>
        </is>
      </c>
      <c r="I99" s="30" t="n"/>
      <c r="J99" s="31">
        <f>IFERROR(INDEX('케이스별결과'!$B$4:$B$600,MATCH($A99,'케이스별결과'!$A$4:$A$600,0)),"미실행")</f>
        <v/>
      </c>
    </row>
    <row r="100">
      <c r="A100" s="27" t="inlineStr">
        <is>
          <t>UT-AUTH-05</t>
        </is>
      </c>
      <c r="B100" s="27" t="inlineStr">
        <is>
          <t>단위</t>
        </is>
      </c>
      <c r="C100" s="27" t="inlineStr">
        <is>
          <t>FR-01</t>
        </is>
      </c>
      <c r="D100" s="28" t="inlineStr">
        <is>
          <t>SC-01</t>
        </is>
      </c>
      <c r="E100" s="27" t="inlineStr">
        <is>
          <t>경계</t>
        </is>
      </c>
      <c r="F100" s="29" t="inlineStr">
        <is>
          <t>verify_password: 대소문자 구분</t>
        </is>
      </c>
      <c r="G100" s="29" t="inlineStr">
        <is>
          <t>대소문자만 다른 평문은 False</t>
        </is>
      </c>
      <c r="H100" s="28" t="inlineStr">
        <is>
          <t>Must</t>
        </is>
      </c>
      <c r="I100" s="30" t="n"/>
      <c r="J100" s="31">
        <f>IFERROR(INDEX('케이스별결과'!$B$4:$B$600,MATCH($A100,'케이스별결과'!$A$4:$A$600,0)),"미실행")</f>
        <v/>
      </c>
    </row>
    <row r="101">
      <c r="A101" s="27" t="inlineStr">
        <is>
          <t>UT-AUTH-06</t>
        </is>
      </c>
      <c r="B101" s="27" t="inlineStr">
        <is>
          <t>단위</t>
        </is>
      </c>
      <c r="C101" s="27" t="inlineStr">
        <is>
          <t>FR-01</t>
        </is>
      </c>
      <c r="D101" s="28" t="inlineStr">
        <is>
          <t>SC-01</t>
        </is>
      </c>
      <c r="E101" s="27" t="inlineStr">
        <is>
          <t>비정상</t>
        </is>
      </c>
      <c r="F101" s="29" t="inlineStr">
        <is>
          <t>verify_password: 빈 입력/깨진 해시는 예외 없이 False</t>
        </is>
      </c>
      <c r="G101" s="29" t="inlineStr">
        <is>
          <t>예외 없이 False</t>
        </is>
      </c>
      <c r="H101" s="28" t="inlineStr">
        <is>
          <t>Must</t>
        </is>
      </c>
      <c r="I101" s="30" t="n"/>
      <c r="J101" s="31">
        <f>IFERROR(INDEX('케이스별결과'!$B$4:$B$600,MATCH($A101,'케이스별결과'!$A$4:$A$600,0)),"미실행")</f>
        <v/>
      </c>
    </row>
    <row r="102">
      <c r="A102" s="27" t="inlineStr">
        <is>
          <t>UT-AUTH-07</t>
        </is>
      </c>
      <c r="B102" s="27" t="inlineStr">
        <is>
          <t>단위</t>
        </is>
      </c>
      <c r="C102" s="27" t="inlineStr">
        <is>
          <t>FR-01</t>
        </is>
      </c>
      <c r="D102" s="28" t="inlineStr">
        <is>
          <t>SC-01</t>
        </is>
      </c>
      <c r="E102" s="27" t="inlineStr">
        <is>
          <t>경계</t>
        </is>
      </c>
      <c r="F102" s="29" t="inlineStr">
        <is>
          <t>hash_password: 한글·특수문자 포함 비밀번호</t>
        </is>
      </c>
      <c r="G102" s="29" t="inlineStr">
        <is>
          <t>해시 생성 후 verify 가 True</t>
        </is>
      </c>
      <c r="H102" s="28" t="inlineStr">
        <is>
          <t>Must</t>
        </is>
      </c>
      <c r="I102" s="30" t="n"/>
      <c r="J102" s="31">
        <f>IFERROR(INDEX('케이스별결과'!$B$4:$B$600,MATCH($A102,'케이스별결과'!$A$4:$A$600,0)),"미실행")</f>
        <v/>
      </c>
    </row>
    <row r="103">
      <c r="A103" s="27" t="inlineStr">
        <is>
          <t>UT-AUTH-08</t>
        </is>
      </c>
      <c r="B103" s="27" t="inlineStr">
        <is>
          <t>단위</t>
        </is>
      </c>
      <c r="C103" s="27" t="inlineStr">
        <is>
          <t>FR-01</t>
        </is>
      </c>
      <c r="D103" s="28" t="inlineStr">
        <is>
          <t>SC-01</t>
        </is>
      </c>
      <c r="E103" s="27" t="inlineStr">
        <is>
          <t>정상</t>
        </is>
      </c>
      <c r="F103" s="29" t="inlineStr">
        <is>
          <t>signup: 개인 사용자 가입</t>
        </is>
      </c>
      <c r="G103" s="29" t="inlineStr">
        <is>
          <t>User 생성, password_hash 는 원문과 다른 bcrypt 값, org_code 는 None</t>
        </is>
      </c>
      <c r="H103" s="28" t="inlineStr">
        <is>
          <t>Must</t>
        </is>
      </c>
      <c r="I103" s="30" t="n"/>
      <c r="J103" s="31">
        <f>IFERROR(INDEX('케이스별결과'!$B$4:$B$600,MATCH($A103,'케이스별결과'!$A$4:$A$600,0)),"미실행")</f>
        <v/>
      </c>
    </row>
    <row r="104">
      <c r="A104" s="27" t="inlineStr">
        <is>
          <t>UT-AUTH-09</t>
        </is>
      </c>
      <c r="B104" s="27" t="inlineStr">
        <is>
          <t>단위</t>
        </is>
      </c>
      <c r="C104" s="27" t="inlineStr">
        <is>
          <t>FR-01</t>
        </is>
      </c>
      <c r="D104" s="28" t="inlineStr">
        <is>
          <t>SC-01</t>
        </is>
      </c>
      <c r="E104" s="27" t="inlineStr">
        <is>
          <t>정상</t>
        </is>
      </c>
      <c r="F104" s="29" t="inlineStr">
        <is>
          <t>signup: 기업/기관 사용자는 org_code 와 함께 가입</t>
        </is>
      </c>
      <c r="G104" s="29" t="inlineStr">
        <is>
          <t>user_type·org_code 가 그대로 저장</t>
        </is>
      </c>
      <c r="H104" s="28" t="inlineStr">
        <is>
          <t>Must</t>
        </is>
      </c>
      <c r="I104" s="30" t="n"/>
      <c r="J104" s="31">
        <f>IFERROR(INDEX('케이스별결과'!$B$4:$B$600,MATCH($A104,'케이스별결과'!$A$4:$A$600,0)),"미실행")</f>
        <v/>
      </c>
    </row>
    <row r="105">
      <c r="A105" s="27" t="inlineStr">
        <is>
          <t>UT-AUTH-10</t>
        </is>
      </c>
      <c r="B105" s="27" t="inlineStr">
        <is>
          <t>단위</t>
        </is>
      </c>
      <c r="C105" s="27" t="inlineStr">
        <is>
          <t>FR-01</t>
        </is>
      </c>
      <c r="D105" s="28" t="inlineStr">
        <is>
          <t>SC-01</t>
        </is>
      </c>
      <c r="E105" s="27" t="inlineStr">
        <is>
          <t>비정상</t>
        </is>
      </c>
      <c r="F105" s="29" t="inlineStr">
        <is>
          <t>signup: 기업/기관인데 org_code 누락</t>
        </is>
      </c>
      <c r="G105" s="29" t="inlineStr">
        <is>
          <t>ValidationError, 사용자 미생성</t>
        </is>
      </c>
      <c r="H105" s="28" t="inlineStr">
        <is>
          <t>Must</t>
        </is>
      </c>
      <c r="I105" s="30" t="n"/>
      <c r="J105" s="31">
        <f>IFERROR(INDEX('케이스별결과'!$B$4:$B$600,MATCH($A105,'케이스별결과'!$A$4:$A$600,0)),"미실행")</f>
        <v/>
      </c>
    </row>
    <row r="106">
      <c r="A106" s="27" t="inlineStr">
        <is>
          <t>UT-AUTH-11</t>
        </is>
      </c>
      <c r="B106" s="27" t="inlineStr">
        <is>
          <t>단위</t>
        </is>
      </c>
      <c r="C106" s="27" t="inlineStr">
        <is>
          <t>FR-01</t>
        </is>
      </c>
      <c r="D106" s="28" t="inlineStr">
        <is>
          <t>SC-01</t>
        </is>
      </c>
      <c r="E106" s="27" t="inlineStr">
        <is>
          <t>경계</t>
        </is>
      </c>
      <c r="F106" s="29" t="inlineStr">
        <is>
          <t>signup: 개인 사용자가 org_code 를 보내도 저장하지 않음</t>
        </is>
      </c>
      <c r="G106" s="29" t="inlineStr">
        <is>
          <t>org_code 는 None</t>
        </is>
      </c>
      <c r="H106" s="28" t="inlineStr">
        <is>
          <t>Must</t>
        </is>
      </c>
      <c r="I106" s="30" t="n"/>
      <c r="J106" s="31">
        <f>IFERROR(INDEX('케이스별결과'!$B$4:$B$600,MATCH($A106,'케이스별결과'!$A$4:$A$600,0)),"미실행")</f>
        <v/>
      </c>
    </row>
    <row r="107">
      <c r="A107" s="27" t="inlineStr">
        <is>
          <t>UT-AUTH-12</t>
        </is>
      </c>
      <c r="B107" s="27" t="inlineStr">
        <is>
          <t>단위</t>
        </is>
      </c>
      <c r="C107" s="27" t="inlineStr">
        <is>
          <t>FR-01</t>
        </is>
      </c>
      <c r="D107" s="28" t="inlineStr">
        <is>
          <t>SC-01</t>
        </is>
      </c>
      <c r="E107" s="27" t="inlineStr">
        <is>
          <t>비정상</t>
        </is>
      </c>
      <c r="F107" s="29" t="inlineStr">
        <is>
          <t>signup: 중복 username</t>
        </is>
      </c>
      <c r="G107" s="29" t="inlineStr">
        <is>
          <t>DuplicateUsernameError, users 레코드 1건 유지</t>
        </is>
      </c>
      <c r="H107" s="28" t="inlineStr">
        <is>
          <t>Must</t>
        </is>
      </c>
      <c r="I107" s="30" t="n"/>
      <c r="J107" s="31">
        <f>IFERROR(INDEX('케이스별결과'!$B$4:$B$600,MATCH($A107,'케이스별결과'!$A$4:$A$600,0)),"미실행")</f>
        <v/>
      </c>
    </row>
    <row r="108">
      <c r="A108" s="27" t="inlineStr">
        <is>
          <t>UT-AUTH-13</t>
        </is>
      </c>
      <c r="B108" s="27" t="inlineStr">
        <is>
          <t>단위</t>
        </is>
      </c>
      <c r="C108" s="27" t="inlineStr">
        <is>
          <t>FR-01</t>
        </is>
      </c>
      <c r="D108" s="28" t="inlineStr">
        <is>
          <t>SC-01</t>
        </is>
      </c>
      <c r="E108" s="27" t="inlineStr">
        <is>
          <t>경계</t>
        </is>
      </c>
      <c r="F108" s="29" t="inlineStr">
        <is>
          <t>signup: username 은 대소문자를 구분(Alice01 ≠ alice01)</t>
        </is>
      </c>
      <c r="G108" s="29" t="inlineStr">
        <is>
          <t>두 계정 모두 생성</t>
        </is>
      </c>
      <c r="H108" s="28" t="inlineStr">
        <is>
          <t>Must</t>
        </is>
      </c>
      <c r="I108" s="30" t="n"/>
      <c r="J108" s="31">
        <f>IFERROR(INDEX('케이스별결과'!$B$4:$B$600,MATCH($A108,'케이스별결과'!$A$4:$A$600,0)),"미실행")</f>
        <v/>
      </c>
    </row>
    <row r="109">
      <c r="A109" s="27" t="inlineStr">
        <is>
          <t>UT-AUTH-14</t>
        </is>
      </c>
      <c r="B109" s="27" t="inlineStr">
        <is>
          <t>단위</t>
        </is>
      </c>
      <c r="C109" s="27" t="inlineStr">
        <is>
          <t>FR-01</t>
        </is>
      </c>
      <c r="D109" s="28" t="inlineStr">
        <is>
          <t>SC-01</t>
        </is>
      </c>
      <c r="E109" s="27" t="inlineStr">
        <is>
          <t>경계</t>
        </is>
      </c>
      <c r="F109" s="29" t="inlineStr">
        <is>
          <t>signup: username 길이 경계 3/4/20/21자</t>
        </is>
      </c>
      <c r="G109" s="29" t="inlineStr">
        <is>
          <t>4~20자만 허용, 나머지 ValidationError</t>
        </is>
      </c>
      <c r="H109" s="28" t="inlineStr">
        <is>
          <t>Must</t>
        </is>
      </c>
      <c r="I109" s="30" t="n"/>
      <c r="J109" s="31">
        <f>IFERROR(INDEX('케이스별결과'!$B$4:$B$600,MATCH($A109,'케이스별결과'!$A$4:$A$600,0)),"미실행")</f>
        <v/>
      </c>
    </row>
    <row r="110">
      <c r="A110" s="27" t="inlineStr">
        <is>
          <t>UT-AUTH-15</t>
        </is>
      </c>
      <c r="B110" s="27" t="inlineStr">
        <is>
          <t>단위</t>
        </is>
      </c>
      <c r="C110" s="27" t="inlineStr">
        <is>
          <t>FR-01</t>
        </is>
      </c>
      <c r="D110" s="28" t="inlineStr">
        <is>
          <t>SC-01</t>
        </is>
      </c>
      <c r="E110" s="27" t="inlineStr">
        <is>
          <t>비정상</t>
        </is>
      </c>
      <c r="F110" s="29" t="inlineStr">
        <is>
          <t>signup: username 허용 문자(영문/숫자/_) 외 입력</t>
        </is>
      </c>
      <c r="G110" s="29" t="inlineStr">
        <is>
          <t>ValidationError</t>
        </is>
      </c>
      <c r="H110" s="28" t="inlineStr">
        <is>
          <t>Must</t>
        </is>
      </c>
      <c r="I110" s="30" t="n"/>
      <c r="J110" s="31">
        <f>IFERROR(INDEX('케이스별결과'!$B$4:$B$600,MATCH($A110,'케이스별결과'!$A$4:$A$600,0)),"미실행")</f>
        <v/>
      </c>
    </row>
    <row r="111">
      <c r="A111" s="27" t="inlineStr">
        <is>
          <t>UT-AUTH-16</t>
        </is>
      </c>
      <c r="B111" s="27" t="inlineStr">
        <is>
          <t>단위</t>
        </is>
      </c>
      <c r="C111" s="27" t="inlineStr">
        <is>
          <t>FR-01</t>
        </is>
      </c>
      <c r="D111" s="28" t="inlineStr">
        <is>
          <t>SC-01</t>
        </is>
      </c>
      <c r="E111" s="27" t="inlineStr">
        <is>
          <t>경계</t>
        </is>
      </c>
      <c r="F111" s="29" t="inlineStr">
        <is>
          <t>signup: 비밀번호 길이 경계 7/8/64/65자</t>
        </is>
      </c>
      <c r="G111" s="29" t="inlineStr">
        <is>
          <t>8~64자만 허용</t>
        </is>
      </c>
      <c r="H111" s="28" t="inlineStr">
        <is>
          <t>Must</t>
        </is>
      </c>
      <c r="I111" s="30" t="n"/>
      <c r="J111" s="31">
        <f>IFERROR(INDEX('케이스별결과'!$B$4:$B$600,MATCH($A111,'케이스별결과'!$A$4:$A$600,0)),"미실행")</f>
        <v/>
      </c>
    </row>
    <row r="112">
      <c r="A112" s="27" t="inlineStr">
        <is>
          <t>UT-AUTH-17</t>
        </is>
      </c>
      <c r="B112" s="27" t="inlineStr">
        <is>
          <t>단위</t>
        </is>
      </c>
      <c r="C112" s="27" t="inlineStr">
        <is>
          <t>FR-01</t>
        </is>
      </c>
      <c r="D112" s="28" t="inlineStr">
        <is>
          <t>SC-01</t>
        </is>
      </c>
      <c r="E112" s="27" t="inlineStr">
        <is>
          <t>비정상</t>
        </is>
      </c>
      <c r="F112" s="29" t="inlineStr">
        <is>
          <t>signup: 비밀번호 구성 규칙(영문+숫자 각 1자 이상)</t>
        </is>
      </c>
      <c r="G112" s="29" t="inlineStr">
        <is>
          <t>숫자만/영문만/공백만 → ValidationError</t>
        </is>
      </c>
      <c r="H112" s="28" t="inlineStr">
        <is>
          <t>Must</t>
        </is>
      </c>
      <c r="I112" s="30" t="n"/>
      <c r="J112" s="31">
        <f>IFERROR(INDEX('케이스별결과'!$B$4:$B$600,MATCH($A112,'케이스별결과'!$A$4:$A$600,0)),"미실행")</f>
        <v/>
      </c>
    </row>
    <row r="113">
      <c r="A113" s="27" t="inlineStr">
        <is>
          <t>UT-AUTH-18</t>
        </is>
      </c>
      <c r="B113" s="27" t="inlineStr">
        <is>
          <t>단위</t>
        </is>
      </c>
      <c r="C113" s="27" t="inlineStr">
        <is>
          <t>FR-01</t>
        </is>
      </c>
      <c r="D113" s="28" t="inlineStr">
        <is>
          <t>SC-01</t>
        </is>
      </c>
      <c r="E113" s="27" t="inlineStr">
        <is>
          <t>비정상</t>
        </is>
      </c>
      <c r="F113" s="29" t="inlineStr">
        <is>
          <t>signup: 허용되지 않는 user_type</t>
        </is>
      </c>
      <c r="G113" s="29" t="inlineStr">
        <is>
          <t>ValidationError</t>
        </is>
      </c>
      <c r="H113" s="28" t="inlineStr">
        <is>
          <t>Must</t>
        </is>
      </c>
      <c r="I113" s="30" t="n"/>
      <c r="J113" s="31">
        <f>IFERROR(INDEX('케이스별결과'!$B$4:$B$600,MATCH($A113,'케이스별결과'!$A$4:$A$600,0)),"미실행")</f>
        <v/>
      </c>
    </row>
    <row r="114">
      <c r="A114" s="27" t="inlineStr">
        <is>
          <t>UT-AUTH-19</t>
        </is>
      </c>
      <c r="B114" s="27" t="inlineStr">
        <is>
          <t>단위</t>
        </is>
      </c>
      <c r="C114" s="27" t="inlineStr">
        <is>
          <t>FR-01</t>
        </is>
      </c>
      <c r="D114" s="28" t="inlineStr">
        <is>
          <t>SC-01</t>
        </is>
      </c>
      <c r="E114" s="27" t="inlineStr">
        <is>
          <t>비정상</t>
        </is>
      </c>
      <c r="F114" s="29" t="inlineStr">
        <is>
          <t>signup: 실패한 가입은 레코드를 남기지 않음(원자성)</t>
        </is>
      </c>
      <c r="G114" s="29" t="inlineStr">
        <is>
          <t>예외 후 users 0건</t>
        </is>
      </c>
      <c r="H114" s="28" t="inlineStr">
        <is>
          <t>Must</t>
        </is>
      </c>
      <c r="I114" s="30" t="n"/>
      <c r="J114" s="31">
        <f>IFERROR(INDEX('케이스별결과'!$B$4:$B$600,MATCH($A114,'케이스별결과'!$A$4:$A$600,0)),"미실행")</f>
        <v/>
      </c>
    </row>
    <row r="115">
      <c r="A115" s="27" t="inlineStr">
        <is>
          <t>UT-AUTH-20</t>
        </is>
      </c>
      <c r="B115" s="27" t="inlineStr">
        <is>
          <t>단위</t>
        </is>
      </c>
      <c r="C115" s="27" t="inlineStr">
        <is>
          <t>FR-01</t>
        </is>
      </c>
      <c r="D115" s="28" t="inlineStr">
        <is>
          <t>SC-01</t>
        </is>
      </c>
      <c r="E115" s="27" t="inlineStr">
        <is>
          <t>정상</t>
        </is>
      </c>
      <c r="F115" s="29" t="inlineStr">
        <is>
          <t>login: 올바른 자격 증명</t>
        </is>
      </c>
      <c r="G115" s="29" t="inlineStr">
        <is>
          <t>해당 User 반환</t>
        </is>
      </c>
      <c r="H115" s="28" t="inlineStr">
        <is>
          <t>Must</t>
        </is>
      </c>
      <c r="I115" s="30" t="n"/>
      <c r="J115" s="31">
        <f>IFERROR(INDEX('케이스별결과'!$B$4:$B$600,MATCH($A115,'케이스별결과'!$A$4:$A$600,0)),"미실행")</f>
        <v/>
      </c>
    </row>
    <row r="116">
      <c r="A116" s="27" t="inlineStr">
        <is>
          <t>UT-AUTH-21</t>
        </is>
      </c>
      <c r="B116" s="27" t="inlineStr">
        <is>
          <t>단위</t>
        </is>
      </c>
      <c r="C116" s="27" t="inlineStr">
        <is>
          <t>FR-01</t>
        </is>
      </c>
      <c r="D116" s="28" t="inlineStr">
        <is>
          <t>SC-01</t>
        </is>
      </c>
      <c r="E116" s="27" t="inlineStr">
        <is>
          <t>비정상</t>
        </is>
      </c>
      <c r="F116" s="29" t="inlineStr">
        <is>
          <t>login: 비밀번호 불일치</t>
        </is>
      </c>
      <c r="G116" s="29" t="inlineStr">
        <is>
          <t>AuthenticationError</t>
        </is>
      </c>
      <c r="H116" s="28" t="inlineStr">
        <is>
          <t>Must</t>
        </is>
      </c>
      <c r="I116" s="30" t="n"/>
      <c r="J116" s="31">
        <f>IFERROR(INDEX('케이스별결과'!$B$4:$B$600,MATCH($A116,'케이스별결과'!$A$4:$A$600,0)),"미실행")</f>
        <v/>
      </c>
    </row>
    <row r="117">
      <c r="A117" s="27" t="inlineStr">
        <is>
          <t>UT-AUTH-22</t>
        </is>
      </c>
      <c r="B117" s="27" t="inlineStr">
        <is>
          <t>단위</t>
        </is>
      </c>
      <c r="C117" s="27" t="inlineStr">
        <is>
          <t>FR-01</t>
        </is>
      </c>
      <c r="D117" s="28" t="inlineStr">
        <is>
          <t>SC-01</t>
        </is>
      </c>
      <c r="E117" s="27" t="inlineStr">
        <is>
          <t>보안</t>
        </is>
      </c>
      <c r="F117" s="29" t="inlineStr">
        <is>
          <t>login: 없는 아이디 — 비밀번호 불일치와 동일한 예외/메시지</t>
        </is>
      </c>
      <c r="G117" s="29" t="inlineStr">
        <is>
          <t>AuthenticationError, 메시지가 UT-AUTH-21 과 동일(계정 존재 여부 비노출)</t>
        </is>
      </c>
      <c r="H117" s="28" t="inlineStr">
        <is>
          <t>Must</t>
        </is>
      </c>
      <c r="I117" s="30" t="n"/>
      <c r="J117" s="31">
        <f>IFERROR(INDEX('케이스별결과'!$B$4:$B$600,MATCH($A117,'케이스별결과'!$A$4:$A$600,0)),"미실행")</f>
        <v/>
      </c>
    </row>
    <row r="118">
      <c r="A118" s="27" t="inlineStr">
        <is>
          <t>UT-AUTH-23</t>
        </is>
      </c>
      <c r="B118" s="27" t="inlineStr">
        <is>
          <t>단위</t>
        </is>
      </c>
      <c r="C118" s="27" t="inlineStr">
        <is>
          <t>FR-01</t>
        </is>
      </c>
      <c r="D118" s="28" t="inlineStr">
        <is>
          <t>SC-01</t>
        </is>
      </c>
      <c r="E118" s="27" t="inlineStr">
        <is>
          <t>보안</t>
        </is>
      </c>
      <c r="F118" s="29" t="inlineStr">
        <is>
          <t>login: 빈 입력/인젝션 문자열</t>
        </is>
      </c>
      <c r="G118" s="29" t="inlineStr">
        <is>
          <t>AuthenticationError (예외 유형 일관)</t>
        </is>
      </c>
      <c r="H118" s="28" t="inlineStr">
        <is>
          <t>Must</t>
        </is>
      </c>
      <c r="I118" s="30" t="n"/>
      <c r="J118" s="31">
        <f>IFERROR(INDEX('케이스별결과'!$B$4:$B$600,MATCH($A118,'케이스별결과'!$A$4:$A$600,0)),"미실행")</f>
        <v/>
      </c>
    </row>
    <row r="119">
      <c r="A119" s="27" t="inlineStr">
        <is>
          <t>UT-AUTH-24</t>
        </is>
      </c>
      <c r="B119" s="27" t="inlineStr">
        <is>
          <t>단위</t>
        </is>
      </c>
      <c r="C119" s="27" t="inlineStr">
        <is>
          <t>FR-01</t>
        </is>
      </c>
      <c r="D119" s="28" t="inlineStr">
        <is>
          <t>SC-01</t>
        </is>
      </c>
      <c r="E119" s="27" t="inlineStr">
        <is>
          <t>정상</t>
        </is>
      </c>
      <c r="F119" s="29" t="inlineStr">
        <is>
          <t>get_user: 존재하는 id / 없는 id</t>
        </is>
      </c>
      <c r="G119" s="29" t="inlineStr">
        <is>
          <t>존재하면 User, 없으면 NotFoundError</t>
        </is>
      </c>
      <c r="H119" s="28" t="inlineStr">
        <is>
          <t>Must</t>
        </is>
      </c>
      <c r="I119" s="30" t="n"/>
      <c r="J119" s="31">
        <f>IFERROR(INDEX('케이스별결과'!$B$4:$B$600,MATCH($A119,'케이스별결과'!$A$4:$A$600,0)),"미실행")</f>
        <v/>
      </c>
    </row>
    <row r="120">
      <c r="A120" s="27" t="inlineStr">
        <is>
          <t>UT-CAVP-01</t>
        </is>
      </c>
      <c r="B120" s="27" t="inlineStr">
        <is>
          <t>단위</t>
        </is>
      </c>
      <c r="C120" s="27" t="inlineStr">
        <is>
          <t>FR-03</t>
        </is>
      </c>
      <c r="D120" s="28" t="inlineStr">
        <is>
          <t>SC-04</t>
        </is>
      </c>
      <c r="E120" s="27" t="inlineStr">
        <is>
          <t>정상</t>
        </is>
      </c>
      <c r="F120" s="29" t="inlineStr">
        <is>
          <t>create_application: 유효한 알고리즘</t>
        </is>
      </c>
      <c r="G120" s="29" t="inlineStr">
        <is>
          <t>status='submitted', submitted_at 설정, 본인 소유</t>
        </is>
      </c>
      <c r="H120" s="28" t="inlineStr">
        <is>
          <t>Must</t>
        </is>
      </c>
      <c r="I120" s="30" t="n"/>
      <c r="J120" s="31">
        <f>IFERROR(INDEX('케이스별결과'!$B$4:$B$600,MATCH($A120,'케이스별결과'!$A$4:$A$600,0)),"미실행")</f>
        <v/>
      </c>
    </row>
    <row r="121">
      <c r="A121" s="27" t="inlineStr">
        <is>
          <t>UT-CAVP-02</t>
        </is>
      </c>
      <c r="B121" s="27" t="inlineStr">
        <is>
          <t>단위</t>
        </is>
      </c>
      <c r="C121" s="27" t="inlineStr">
        <is>
          <t>FR-03</t>
        </is>
      </c>
      <c r="D121" s="28" t="inlineStr">
        <is>
          <t>SC-04</t>
        </is>
      </c>
      <c r="E121" s="27" t="inlineStr">
        <is>
          <t>정상</t>
        </is>
      </c>
      <c r="F121" s="29" t="inlineStr">
        <is>
          <t>create_application: 허용 알고리즘 전체</t>
        </is>
      </c>
      <c r="G121" s="29" t="inlineStr">
        <is>
          <t>ALGORITHMS 의 모든 값 신청 가능</t>
        </is>
      </c>
      <c r="H121" s="28" t="inlineStr">
        <is>
          <t>Must</t>
        </is>
      </c>
      <c r="I121" s="30" t="n"/>
      <c r="J121" s="31">
        <f>IFERROR(INDEX('케이스별결과'!$B$4:$B$600,MATCH($A121,'케이스별결과'!$A$4:$A$600,0)),"미실행")</f>
        <v/>
      </c>
    </row>
    <row r="122">
      <c r="A122" s="27" t="inlineStr">
        <is>
          <t>UT-CAVP-03</t>
        </is>
      </c>
      <c r="B122" s="27" t="inlineStr">
        <is>
          <t>단위</t>
        </is>
      </c>
      <c r="C122" s="27" t="inlineStr">
        <is>
          <t>FR-03</t>
        </is>
      </c>
      <c r="D122" s="28" t="inlineStr">
        <is>
          <t>SC-04</t>
        </is>
      </c>
      <c r="E122" s="27" t="inlineStr">
        <is>
          <t>비정상</t>
        </is>
      </c>
      <c r="F122" s="29" t="inlineStr">
        <is>
          <t>create_application: 빈 값/미허용 알고리즘</t>
        </is>
      </c>
      <c r="G122" s="29" t="inlineStr">
        <is>
          <t>ValidationError, 레코드 미생성</t>
        </is>
      </c>
      <c r="H122" s="28" t="inlineStr">
        <is>
          <t>Must</t>
        </is>
      </c>
      <c r="I122" s="30" t="n"/>
      <c r="J122" s="31">
        <f>IFERROR(INDEX('케이스별결과'!$B$4:$B$600,MATCH($A122,'케이스별결과'!$A$4:$A$600,0)),"미실행")</f>
        <v/>
      </c>
    </row>
    <row r="123">
      <c r="A123" s="27" t="inlineStr">
        <is>
          <t>UT-CAVP-04</t>
        </is>
      </c>
      <c r="B123" s="27" t="inlineStr">
        <is>
          <t>단위</t>
        </is>
      </c>
      <c r="C123" s="27" t="inlineStr">
        <is>
          <t>FR-03</t>
        </is>
      </c>
      <c r="D123" s="28" t="inlineStr">
        <is>
          <t>SC-04</t>
        </is>
      </c>
      <c r="E123" s="27" t="inlineStr">
        <is>
          <t>비정상</t>
        </is>
      </c>
      <c r="F123" s="29" t="inlineStr">
        <is>
          <t>create_application: 없는 사용자</t>
        </is>
      </c>
      <c r="G123" s="29" t="inlineStr">
        <is>
          <t>NotFoundError</t>
        </is>
      </c>
      <c r="H123" s="28" t="inlineStr">
        <is>
          <t>Must</t>
        </is>
      </c>
      <c r="I123" s="30" t="n"/>
      <c r="J123" s="31">
        <f>IFERROR(INDEX('케이스별결과'!$B$4:$B$600,MATCH($A123,'케이스별결과'!$A$4:$A$600,0)),"미실행")</f>
        <v/>
      </c>
    </row>
    <row r="124">
      <c r="A124" s="27" t="inlineStr">
        <is>
          <t>UT-CAVP-05</t>
        </is>
      </c>
      <c r="B124" s="27" t="inlineStr">
        <is>
          <t>단위</t>
        </is>
      </c>
      <c r="C124" s="27" t="inlineStr">
        <is>
          <t>FR-03</t>
        </is>
      </c>
      <c r="D124" s="28" t="inlineStr">
        <is>
          <t>SC-04</t>
        </is>
      </c>
      <c r="E124" s="27" t="inlineStr">
        <is>
          <t>비정상</t>
        </is>
      </c>
      <c r="F124" s="29" t="inlineStr">
        <is>
          <t>create_application: 진행 중 동일 알고리즘 중복 신청</t>
        </is>
      </c>
      <c r="G124" s="29" t="inlineStr">
        <is>
          <t>DuplicateApplicationError (submitted/reviewing 모두)</t>
        </is>
      </c>
      <c r="H124" s="28" t="inlineStr">
        <is>
          <t>Must</t>
        </is>
      </c>
      <c r="I124" s="30" t="n"/>
      <c r="J124" s="31">
        <f>IFERROR(INDEX('케이스별결과'!$B$4:$B$600,MATCH($A124,'케이스별결과'!$A$4:$A$600,0)),"미실행")</f>
        <v/>
      </c>
    </row>
    <row r="125">
      <c r="A125" s="27" t="inlineStr">
        <is>
          <t>UT-CAVP-06</t>
        </is>
      </c>
      <c r="B125" s="27" t="inlineStr">
        <is>
          <t>단위</t>
        </is>
      </c>
      <c r="C125" s="27" t="inlineStr">
        <is>
          <t>FR-03</t>
        </is>
      </c>
      <c r="D125" s="28" t="inlineStr">
        <is>
          <t>SC-04</t>
        </is>
      </c>
      <c r="E125" s="27" t="inlineStr">
        <is>
          <t>경계</t>
        </is>
      </c>
      <c r="F125" s="29" t="inlineStr">
        <is>
          <t>create_application: 종료(approved/rejected) 후 재신청 및 타 알고리즘/타 사용자 신청</t>
        </is>
      </c>
      <c r="G125" s="29" t="inlineStr">
        <is>
          <t>허용</t>
        </is>
      </c>
      <c r="H125" s="28" t="inlineStr">
        <is>
          <t>Must</t>
        </is>
      </c>
      <c r="I125" s="30" t="n"/>
      <c r="J125" s="31">
        <f>IFERROR(INDEX('케이스별결과'!$B$4:$B$600,MATCH($A125,'케이스별결과'!$A$4:$A$600,0)),"미실행")</f>
        <v/>
      </c>
    </row>
    <row r="126">
      <c r="A126" s="27" t="inlineStr">
        <is>
          <t>UT-CAVP-07</t>
        </is>
      </c>
      <c r="B126" s="27" t="inlineStr">
        <is>
          <t>단위</t>
        </is>
      </c>
      <c r="C126" s="27" t="inlineStr">
        <is>
          <t>FR-03</t>
        </is>
      </c>
      <c r="D126" s="28" t="inlineStr">
        <is>
          <t>SC-04</t>
        </is>
      </c>
      <c r="E126" s="27" t="inlineStr">
        <is>
          <t>정상</t>
        </is>
      </c>
      <c r="F126" s="29" t="inlineStr">
        <is>
          <t>update_status: 허용 전이 3종</t>
        </is>
      </c>
      <c r="G126" s="29" t="inlineStr">
        <is>
          <t>submitted→reviewing, reviewing→approved, reviewing→rejected</t>
        </is>
      </c>
      <c r="H126" s="28" t="inlineStr">
        <is>
          <t>Must</t>
        </is>
      </c>
      <c r="I126" s="30" t="n"/>
      <c r="J126" s="31">
        <f>IFERROR(INDEX('케이스별결과'!$B$4:$B$600,MATCH($A126,'케이스별결과'!$A$4:$A$600,0)),"미실행")</f>
        <v/>
      </c>
    </row>
    <row r="127">
      <c r="A127" s="27" t="inlineStr">
        <is>
          <t>UT-CAVP-08</t>
        </is>
      </c>
      <c r="B127" s="27" t="inlineStr">
        <is>
          <t>단위</t>
        </is>
      </c>
      <c r="C127" s="27" t="inlineStr">
        <is>
          <t>FR-03</t>
        </is>
      </c>
      <c r="D127" s="28" t="inlineStr">
        <is>
          <t>SC-04</t>
        </is>
      </c>
      <c r="E127" s="27" t="inlineStr">
        <is>
          <t>비정상</t>
        </is>
      </c>
      <c r="F127" s="29" t="inlineStr">
        <is>
          <t>update_status: 허용되지 않는 전이 전수(허용 3개 제외 13개)</t>
        </is>
      </c>
      <c r="G127" s="29" t="inlineStr">
        <is>
          <t>InvalidTransitionError, 상태 불변</t>
        </is>
      </c>
      <c r="H127" s="28" t="inlineStr">
        <is>
          <t>Must</t>
        </is>
      </c>
      <c r="I127" s="30" t="n"/>
      <c r="J127" s="31">
        <f>IFERROR(INDEX('케이스별결과'!$B$4:$B$600,MATCH($A127,'케이스별결과'!$A$4:$A$600,0)),"미실행")</f>
        <v/>
      </c>
    </row>
    <row r="128">
      <c r="A128" s="27" t="inlineStr">
        <is>
          <t>UT-CAVP-09</t>
        </is>
      </c>
      <c r="B128" s="27" t="inlineStr">
        <is>
          <t>단위</t>
        </is>
      </c>
      <c r="C128" s="27" t="inlineStr">
        <is>
          <t>FR-03</t>
        </is>
      </c>
      <c r="D128" s="28" t="inlineStr">
        <is>
          <t>SC-04</t>
        </is>
      </c>
      <c r="E128" s="27" t="inlineStr">
        <is>
          <t>비정상</t>
        </is>
      </c>
      <c r="F128" s="29" t="inlineStr">
        <is>
          <t>update_status: 존재하지 않는 상태값</t>
        </is>
      </c>
      <c r="G128" s="29" t="inlineStr">
        <is>
          <t>ValidationError</t>
        </is>
      </c>
      <c r="H128" s="28" t="inlineStr">
        <is>
          <t>Must</t>
        </is>
      </c>
      <c r="I128" s="30" t="n"/>
      <c r="J128" s="31">
        <f>IFERROR(INDEX('케이스별결과'!$B$4:$B$600,MATCH($A128,'케이스별결과'!$A$4:$A$600,0)),"미실행")</f>
        <v/>
      </c>
    </row>
    <row r="129">
      <c r="A129" s="27" t="inlineStr">
        <is>
          <t>UT-CAVP-10</t>
        </is>
      </c>
      <c r="B129" s="27" t="inlineStr">
        <is>
          <t>단위</t>
        </is>
      </c>
      <c r="C129" s="27" t="inlineStr">
        <is>
          <t>FR-03</t>
        </is>
      </c>
      <c r="D129" s="28" t="inlineStr">
        <is>
          <t>SC-04</t>
        </is>
      </c>
      <c r="E129" s="27" t="inlineStr">
        <is>
          <t>경계</t>
        </is>
      </c>
      <c r="F129" s="29" t="inlineStr">
        <is>
          <t>update_status: 전이 시 updated_at 갱신</t>
        </is>
      </c>
      <c r="G129" s="29" t="inlineStr">
        <is>
          <t>updated_at 이 이전보다 이후</t>
        </is>
      </c>
      <c r="H129" s="28" t="inlineStr">
        <is>
          <t>Must</t>
        </is>
      </c>
      <c r="I129" s="30" t="n"/>
      <c r="J129" s="31">
        <f>IFERROR(INDEX('케이스별결과'!$B$4:$B$600,MATCH($A129,'케이스별결과'!$A$4:$A$600,0)),"미실행")</f>
        <v/>
      </c>
    </row>
    <row r="130">
      <c r="A130" s="27" t="inlineStr">
        <is>
          <t>UT-CAVP-11</t>
        </is>
      </c>
      <c r="B130" s="27" t="inlineStr">
        <is>
          <t>단위</t>
        </is>
      </c>
      <c r="C130" s="27" t="inlineStr">
        <is>
          <t>FR-03</t>
        </is>
      </c>
      <c r="D130" s="28" t="inlineStr">
        <is>
          <t>SC-04</t>
        </is>
      </c>
      <c r="E130" s="27" t="inlineStr">
        <is>
          <t>보안</t>
        </is>
      </c>
      <c r="F130" s="29" t="inlineStr">
        <is>
          <t>update_status: institution 이 아닌 사용자는 상태 변경 불가</t>
        </is>
      </c>
      <c r="G130" s="29" t="inlineStr">
        <is>
          <t>PermissionDeniedError, 상태 불변</t>
        </is>
      </c>
      <c r="H130" s="28" t="inlineStr">
        <is>
          <t>Must</t>
        </is>
      </c>
      <c r="I130" s="30" t="n"/>
      <c r="J130" s="31">
        <f>IFERROR(INDEX('케이스별결과'!$B$4:$B$600,MATCH($A130,'케이스별결과'!$A$4:$A$600,0)),"미실행")</f>
        <v/>
      </c>
    </row>
    <row r="131">
      <c r="A131" s="27" t="inlineStr">
        <is>
          <t>UT-CAVP-12</t>
        </is>
      </c>
      <c r="B131" s="27" t="inlineStr">
        <is>
          <t>단위</t>
        </is>
      </c>
      <c r="C131" s="27" t="inlineStr">
        <is>
          <t>FR-03</t>
        </is>
      </c>
      <c r="D131" s="28" t="inlineStr">
        <is>
          <t>SC-04</t>
        </is>
      </c>
      <c r="E131" s="27" t="inlineStr">
        <is>
          <t>비정상</t>
        </is>
      </c>
      <c r="F131" s="29" t="inlineStr">
        <is>
          <t>update_status: 없는 신청/없는 사용자</t>
        </is>
      </c>
      <c r="G131" s="29" t="inlineStr">
        <is>
          <t>NotFoundError</t>
        </is>
      </c>
      <c r="H131" s="28" t="inlineStr">
        <is>
          <t>Must</t>
        </is>
      </c>
      <c r="I131" s="30" t="n"/>
      <c r="J131" s="31">
        <f>IFERROR(INDEX('케이스별결과'!$B$4:$B$600,MATCH($A131,'케이스별결과'!$A$4:$A$600,0)),"미실행")</f>
        <v/>
      </c>
    </row>
    <row r="132">
      <c r="A132" s="27" t="inlineStr">
        <is>
          <t>UT-CAVP-13</t>
        </is>
      </c>
      <c r="B132" s="27" t="inlineStr">
        <is>
          <t>단위</t>
        </is>
      </c>
      <c r="C132" s="27" t="inlineStr">
        <is>
          <t>FR-03</t>
        </is>
      </c>
      <c r="D132" s="28" t="inlineStr">
        <is>
          <t>SC-04</t>
        </is>
      </c>
      <c r="E132" s="27" t="inlineStr">
        <is>
          <t>정상</t>
        </is>
      </c>
      <c r="F132" s="29" t="inlineStr">
        <is>
          <t>list_applications: 본인 신청만, 최신순</t>
        </is>
      </c>
      <c r="G132" s="29" t="inlineStr">
        <is>
          <t>타인 신청 제외, submitted_at 내림차순</t>
        </is>
      </c>
      <c r="H132" s="28" t="inlineStr">
        <is>
          <t>Must</t>
        </is>
      </c>
      <c r="I132" s="30" t="n"/>
      <c r="J132" s="31">
        <f>IFERROR(INDEX('케이스별결과'!$B$4:$B$600,MATCH($A132,'케이스별결과'!$A$4:$A$600,0)),"미실행")</f>
        <v/>
      </c>
    </row>
    <row r="133">
      <c r="A133" s="27" t="inlineStr">
        <is>
          <t>UT-CAVP-14</t>
        </is>
      </c>
      <c r="B133" s="27" t="inlineStr">
        <is>
          <t>단위</t>
        </is>
      </c>
      <c r="C133" s="27" t="inlineStr">
        <is>
          <t>FR-03</t>
        </is>
      </c>
      <c r="D133" s="28" t="inlineStr">
        <is>
          <t>SC-04</t>
        </is>
      </c>
      <c r="E133" s="27" t="inlineStr">
        <is>
          <t>정상</t>
        </is>
      </c>
      <c r="F133" s="29" t="inlineStr">
        <is>
          <t>list_applications: 상태 필터</t>
        </is>
      </c>
      <c r="G133" s="29" t="inlineStr">
        <is>
          <t>해당 상태만 반환, total 도 필터 기준</t>
        </is>
      </c>
      <c r="H133" s="28" t="inlineStr">
        <is>
          <t>Must</t>
        </is>
      </c>
      <c r="I133" s="30" t="n"/>
      <c r="J133" s="31">
        <f>IFERROR(INDEX('케이스별결과'!$B$4:$B$600,MATCH($A133,'케이스별결과'!$A$4:$A$600,0)),"미실행")</f>
        <v/>
      </c>
    </row>
    <row r="134">
      <c r="A134" s="27" t="inlineStr">
        <is>
          <t>UT-CAVP-15</t>
        </is>
      </c>
      <c r="B134" s="27" t="inlineStr">
        <is>
          <t>단위</t>
        </is>
      </c>
      <c r="C134" s="27" t="inlineStr">
        <is>
          <t>FR-03</t>
        </is>
      </c>
      <c r="D134" s="28" t="inlineStr">
        <is>
          <t>SC-04</t>
        </is>
      </c>
      <c r="E134" s="27" t="inlineStr">
        <is>
          <t>비정상</t>
        </is>
      </c>
      <c r="F134" s="29" t="inlineStr">
        <is>
          <t>list_applications: 잘못된 상태 필터</t>
        </is>
      </c>
      <c r="G134" s="29" t="inlineStr">
        <is>
          <t>ValidationError</t>
        </is>
      </c>
      <c r="H134" s="28" t="inlineStr">
        <is>
          <t>Must</t>
        </is>
      </c>
      <c r="I134" s="30" t="n"/>
      <c r="J134" s="31">
        <f>IFERROR(INDEX('케이스별결과'!$B$4:$B$600,MATCH($A134,'케이스별결과'!$A$4:$A$600,0)),"미실행")</f>
        <v/>
      </c>
    </row>
    <row r="135">
      <c r="A135" s="27" t="inlineStr">
        <is>
          <t>UT-CAVP-16</t>
        </is>
      </c>
      <c r="B135" s="27" t="inlineStr">
        <is>
          <t>단위</t>
        </is>
      </c>
      <c r="C135" s="27" t="inlineStr">
        <is>
          <t>FR-03</t>
        </is>
      </c>
      <c r="D135" s="28" t="inlineStr">
        <is>
          <t>SC-04</t>
        </is>
      </c>
      <c r="E135" s="27" t="inlineStr">
        <is>
          <t>경계</t>
        </is>
      </c>
      <c r="F135" s="29" t="inlineStr">
        <is>
          <t>list_applications: 페이지네이션 (25건, per_page=10)</t>
        </is>
      </c>
      <c r="G135" s="29" t="inlineStr">
        <is>
          <t>1p 10건, 2p 10건, 3p 5건, 4p 0건, total=25</t>
        </is>
      </c>
      <c r="H135" s="28" t="inlineStr">
        <is>
          <t>Must</t>
        </is>
      </c>
      <c r="I135" s="30" t="n"/>
      <c r="J135" s="31">
        <f>IFERROR(INDEX('케이스별결과'!$B$4:$B$600,MATCH($A135,'케이스별결과'!$A$4:$A$600,0)),"미실행")</f>
        <v/>
      </c>
    </row>
    <row r="136">
      <c r="A136" s="27" t="inlineStr">
        <is>
          <t>UT-CAVP-17</t>
        </is>
      </c>
      <c r="B136" s="27" t="inlineStr">
        <is>
          <t>단위</t>
        </is>
      </c>
      <c r="C136" s="27" t="inlineStr">
        <is>
          <t>FR-03</t>
        </is>
      </c>
      <c r="D136" s="28" t="inlineStr">
        <is>
          <t>SC-04</t>
        </is>
      </c>
      <c r="E136" s="27" t="inlineStr">
        <is>
          <t>경계</t>
        </is>
      </c>
      <c r="F136" s="29" t="inlineStr">
        <is>
          <t>list_applications: page/per_page 경계값</t>
        </is>
      </c>
      <c r="G136" s="29" t="inlineStr">
        <is>
          <t>page 0·per_page 0/51 → ValidationError, per_page 1/50 허용</t>
        </is>
      </c>
      <c r="H136" s="28" t="inlineStr">
        <is>
          <t>Must</t>
        </is>
      </c>
      <c r="I136" s="30" t="n"/>
      <c r="J136" s="31">
        <f>IFERROR(INDEX('케이스별결과'!$B$4:$B$600,MATCH($A136,'케이스별결과'!$A$4:$A$600,0)),"미실행")</f>
        <v/>
      </c>
    </row>
    <row r="137">
      <c r="A137" s="27" t="inlineStr">
        <is>
          <t>UT-CAVP-18</t>
        </is>
      </c>
      <c r="B137" s="27" t="inlineStr">
        <is>
          <t>단위</t>
        </is>
      </c>
      <c r="C137" s="27" t="inlineStr">
        <is>
          <t>FR-03</t>
        </is>
      </c>
      <c r="D137" s="28" t="inlineStr">
        <is>
          <t>SC-04</t>
        </is>
      </c>
      <c r="E137" s="27" t="inlineStr">
        <is>
          <t>정상</t>
        </is>
      </c>
      <c r="F137" s="29" t="inlineStr">
        <is>
          <t>list_applications: 신청이 없으면 빈 목록</t>
        </is>
      </c>
      <c r="G137" s="29" t="inlineStr">
        <is>
          <t>items=[], total=0</t>
        </is>
      </c>
      <c r="H137" s="28" t="inlineStr">
        <is>
          <t>Must</t>
        </is>
      </c>
      <c r="I137" s="30" t="n"/>
      <c r="J137" s="31">
        <f>IFERROR(INDEX('케이스별결과'!$B$4:$B$600,MATCH($A137,'케이스별결과'!$A$4:$A$600,0)),"미실행")</f>
        <v/>
      </c>
    </row>
    <row r="138">
      <c r="A138" s="27" t="inlineStr">
        <is>
          <t>UT-CAVP-19</t>
        </is>
      </c>
      <c r="B138" s="27" t="inlineStr">
        <is>
          <t>단위</t>
        </is>
      </c>
      <c r="C138" s="27" t="inlineStr">
        <is>
          <t>FR-03</t>
        </is>
      </c>
      <c r="D138" s="28" t="inlineStr">
        <is>
          <t>SC-04</t>
        </is>
      </c>
      <c r="E138" s="27" t="inlineStr">
        <is>
          <t>정상</t>
        </is>
      </c>
      <c r="F138" s="29" t="inlineStr">
        <is>
          <t>get_application: 본인 / 타인 / 없는 id</t>
        </is>
      </c>
      <c r="G138" s="29" t="inlineStr">
        <is>
          <t>본인 반환, 타인 PermissionDeniedError, 없는 id NotFoundError</t>
        </is>
      </c>
      <c r="H138" s="28" t="inlineStr">
        <is>
          <t>Must</t>
        </is>
      </c>
      <c r="I138" s="30" t="n"/>
      <c r="J138" s="31">
        <f>IFERROR(INDEX('케이스별결과'!$B$4:$B$600,MATCH($A138,'케이스별결과'!$A$4:$A$600,0)),"미실행")</f>
        <v/>
      </c>
    </row>
    <row r="139">
      <c r="A139" s="27" t="inlineStr">
        <is>
          <t>UT-CAVP-20</t>
        </is>
      </c>
      <c r="B139" s="27" t="inlineStr">
        <is>
          <t>단위</t>
        </is>
      </c>
      <c r="C139" s="27" t="inlineStr">
        <is>
          <t>FR-03</t>
        </is>
      </c>
      <c r="D139" s="28" t="inlineStr">
        <is>
          <t>SC-04</t>
        </is>
      </c>
      <c r="E139" s="27" t="inlineStr">
        <is>
          <t>경계</t>
        </is>
      </c>
      <c r="F139" s="29" t="inlineStr">
        <is>
          <t>get_application: institution 은 모든 신청 조회 가능</t>
        </is>
      </c>
      <c r="G139" s="29" t="inlineStr">
        <is>
          <t>타인 신청도 반환</t>
        </is>
      </c>
      <c r="H139" s="28" t="inlineStr">
        <is>
          <t>Must</t>
        </is>
      </c>
      <c r="I139" s="30" t="n"/>
      <c r="J139" s="31">
        <f>IFERROR(INDEX('케이스별결과'!$B$4:$B$600,MATCH($A139,'케이스별결과'!$A$4:$A$600,0)),"미실행")</f>
        <v/>
      </c>
    </row>
    <row r="140">
      <c r="A140" s="27" t="inlineStr">
        <is>
          <t>UT-CERT-01</t>
        </is>
      </c>
      <c r="B140" s="27" t="inlineStr">
        <is>
          <t>단위</t>
        </is>
      </c>
      <c r="C140" s="27" t="inlineStr">
        <is>
          <t>FR-05</t>
        </is>
      </c>
      <c r="D140" s="28" t="inlineStr">
        <is>
          <t>SC-07</t>
        </is>
      </c>
      <c r="E140" s="27" t="inlineStr">
        <is>
          <t>정상</t>
        </is>
      </c>
      <c r="F140" s="29" t="inlineStr">
        <is>
          <t>compute_hash: SHA-256 hex</t>
        </is>
      </c>
      <c r="G140" s="29" t="inlineStr">
        <is>
          <t>표준 SHA-256 과 동일한 64자 소문자 hex</t>
        </is>
      </c>
      <c r="H140" s="28" t="inlineStr">
        <is>
          <t>Should</t>
        </is>
      </c>
      <c r="I140" s="30" t="n"/>
      <c r="J140" s="31">
        <f>IFERROR(INDEX('케이스별결과'!$B$4:$B$600,MATCH($A140,'케이스별결과'!$A$4:$A$600,0)),"미실행")</f>
        <v/>
      </c>
    </row>
    <row r="141">
      <c r="A141" s="27" t="inlineStr">
        <is>
          <t>UT-CERT-02</t>
        </is>
      </c>
      <c r="B141" s="27" t="inlineStr">
        <is>
          <t>단위</t>
        </is>
      </c>
      <c r="C141" s="27" t="inlineStr">
        <is>
          <t>FR-05</t>
        </is>
      </c>
      <c r="D141" s="28" t="inlineStr">
        <is>
          <t>SC-07</t>
        </is>
      </c>
      <c r="E141" s="27" t="inlineStr">
        <is>
          <t>경계</t>
        </is>
      </c>
      <c r="F141" s="29" t="inlineStr">
        <is>
          <t>compute_hash: 1바이트 차이 / 빈 입력</t>
        </is>
      </c>
      <c r="G141" s="29" t="inlineStr">
        <is>
          <t>1바이트만 달라도 해시 상이, 빈 바이트도 처리</t>
        </is>
      </c>
      <c r="H141" s="28" t="inlineStr">
        <is>
          <t>Should</t>
        </is>
      </c>
      <c r="I141" s="30" t="n"/>
      <c r="J141" s="31">
        <f>IFERROR(INDEX('케이스별결과'!$B$4:$B$600,MATCH($A141,'케이스별결과'!$A$4:$A$600,0)),"미실행")</f>
        <v/>
      </c>
    </row>
    <row r="142">
      <c r="A142" s="27" t="inlineStr">
        <is>
          <t>UT-CERT-03</t>
        </is>
      </c>
      <c r="B142" s="27" t="inlineStr">
        <is>
          <t>단위</t>
        </is>
      </c>
      <c r="C142" s="27" t="inlineStr">
        <is>
          <t>FR-05</t>
        </is>
      </c>
      <c r="D142" s="28" t="inlineStr">
        <is>
          <t>SC-07</t>
        </is>
      </c>
      <c r="E142" s="27" t="inlineStr">
        <is>
          <t>정상</t>
        </is>
      </c>
      <c r="F142" s="29" t="inlineStr">
        <is>
          <t>compare_hash: 동일 해시</t>
        </is>
      </c>
      <c r="G142" s="29" t="inlineStr">
        <is>
          <t>'normal'</t>
        </is>
      </c>
      <c r="H142" s="28" t="inlineStr">
        <is>
          <t>Should</t>
        </is>
      </c>
      <c r="I142" s="30" t="n"/>
      <c r="J142" s="31">
        <f>IFERROR(INDEX('케이스별결과'!$B$4:$B$600,MATCH($A142,'케이스별결과'!$A$4:$A$600,0)),"미실행")</f>
        <v/>
      </c>
    </row>
    <row r="143">
      <c r="A143" s="27" t="inlineStr">
        <is>
          <t>UT-CERT-04</t>
        </is>
      </c>
      <c r="B143" s="27" t="inlineStr">
        <is>
          <t>단위</t>
        </is>
      </c>
      <c r="C143" s="27" t="inlineStr">
        <is>
          <t>FR-05</t>
        </is>
      </c>
      <c r="D143" s="28" t="inlineStr">
        <is>
          <t>SC-07</t>
        </is>
      </c>
      <c r="E143" s="27" t="inlineStr">
        <is>
          <t>비정상</t>
        </is>
      </c>
      <c r="F143" s="29" t="inlineStr">
        <is>
          <t>compare_hash: 상이한 해시</t>
        </is>
      </c>
      <c r="G143" s="29" t="inlineStr">
        <is>
          <t>'suspected'</t>
        </is>
      </c>
      <c r="H143" s="28" t="inlineStr">
        <is>
          <t>Should</t>
        </is>
      </c>
      <c r="I143" s="30" t="n"/>
      <c r="J143" s="31">
        <f>IFERROR(INDEX('케이스별결과'!$B$4:$B$600,MATCH($A143,'케이스별결과'!$A$4:$A$600,0)),"미실행")</f>
        <v/>
      </c>
    </row>
    <row r="144">
      <c r="A144" s="27" t="inlineStr">
        <is>
          <t>UT-CERT-05</t>
        </is>
      </c>
      <c r="B144" s="27" t="inlineStr">
        <is>
          <t>단위</t>
        </is>
      </c>
      <c r="C144" s="27" t="inlineStr">
        <is>
          <t>FR-05</t>
        </is>
      </c>
      <c r="D144" s="28" t="inlineStr">
        <is>
          <t>SC-07</t>
        </is>
      </c>
      <c r="E144" s="27" t="inlineStr">
        <is>
          <t>경계</t>
        </is>
      </c>
      <c r="F144" s="29" t="inlineStr">
        <is>
          <t>compare_hash: 대소문자만 다른 hex</t>
        </is>
      </c>
      <c r="G144" s="29" t="inlineStr">
        <is>
          <t>동일 값으로 보고 'normal'</t>
        </is>
      </c>
      <c r="H144" s="28" t="inlineStr">
        <is>
          <t>Should</t>
        </is>
      </c>
      <c r="I144" s="30" t="n"/>
      <c r="J144" s="31">
        <f>IFERROR(INDEX('케이스별결과'!$B$4:$B$600,MATCH($A144,'케이스별결과'!$A$4:$A$600,0)),"미실행")</f>
        <v/>
      </c>
    </row>
    <row r="145">
      <c r="A145" s="27" t="inlineStr">
        <is>
          <t>UT-CERT-06</t>
        </is>
      </c>
      <c r="B145" s="27" t="inlineStr">
        <is>
          <t>단위</t>
        </is>
      </c>
      <c r="C145" s="27" t="inlineStr">
        <is>
          <t>FR-04</t>
        </is>
      </c>
      <c r="D145" s="28" t="inlineStr">
        <is>
          <t>SC-06</t>
        </is>
      </c>
      <c r="E145" s="27" t="inlineStr">
        <is>
          <t>정상</t>
        </is>
      </c>
      <c r="F145" s="29" t="inlineStr">
        <is>
          <t>issue_certificate: 승인된 신청에 발급</t>
        </is>
      </c>
      <c r="G145" s="29" t="inlineStr">
        <is>
          <t>integrity_hash=SHA-256(내용), tamper_status='normal', 파일 저장</t>
        </is>
      </c>
      <c r="H145" s="28" t="inlineStr">
        <is>
          <t>Should</t>
        </is>
      </c>
      <c r="I145" s="30" t="n"/>
      <c r="J145" s="31">
        <f>IFERROR(INDEX('케이스별결과'!$B$4:$B$600,MATCH($A145,'케이스별결과'!$A$4:$A$600,0)),"미실행")</f>
        <v/>
      </c>
    </row>
    <row r="146">
      <c r="A146" s="27" t="inlineStr">
        <is>
          <t>UT-CERT-07</t>
        </is>
      </c>
      <c r="B146" s="27" t="inlineStr">
        <is>
          <t>단위</t>
        </is>
      </c>
      <c r="C146" s="27" t="inlineStr">
        <is>
          <t>FR-04</t>
        </is>
      </c>
      <c r="D146" s="28" t="inlineStr">
        <is>
          <t>SC-06</t>
        </is>
      </c>
      <c r="E146" s="27" t="inlineStr">
        <is>
          <t>비정상</t>
        </is>
      </c>
      <c r="F146" s="29" t="inlineStr">
        <is>
          <t>issue_certificate: 승인 이전/반려 상태</t>
        </is>
      </c>
      <c r="G146" s="29" t="inlineStr">
        <is>
          <t>InvalidTransitionError, 검증서 미생성</t>
        </is>
      </c>
      <c r="H146" s="28" t="inlineStr">
        <is>
          <t>Should</t>
        </is>
      </c>
      <c r="I146" s="30" t="n"/>
      <c r="J146" s="31">
        <f>IFERROR(INDEX('케이스별결과'!$B$4:$B$600,MATCH($A146,'케이스별결과'!$A$4:$A$600,0)),"미실행")</f>
        <v/>
      </c>
    </row>
    <row r="147">
      <c r="A147" s="27" t="inlineStr">
        <is>
          <t>UT-CERT-08</t>
        </is>
      </c>
      <c r="B147" s="27" t="inlineStr">
        <is>
          <t>단위</t>
        </is>
      </c>
      <c r="C147" s="27" t="inlineStr">
        <is>
          <t>FR-04</t>
        </is>
      </c>
      <c r="D147" s="28" t="inlineStr">
        <is>
          <t>SC-06</t>
        </is>
      </c>
      <c r="E147" s="27" t="inlineStr">
        <is>
          <t>비정상</t>
        </is>
      </c>
      <c r="F147" s="29" t="inlineStr">
        <is>
          <t>issue_certificate: 신청당 1건(중복 발급)</t>
        </is>
      </c>
      <c r="G147" s="29" t="inlineStr">
        <is>
          <t>DuplicateApplicationError</t>
        </is>
      </c>
      <c r="H147" s="28" t="inlineStr">
        <is>
          <t>Should</t>
        </is>
      </c>
      <c r="I147" s="30" t="n"/>
      <c r="J147" s="31">
        <f>IFERROR(INDEX('케이스별결과'!$B$4:$B$600,MATCH($A147,'케이스별결과'!$A$4:$A$600,0)),"미실행")</f>
        <v/>
      </c>
    </row>
    <row r="148">
      <c r="A148" s="27" t="inlineStr">
        <is>
          <t>UT-CERT-09</t>
        </is>
      </c>
      <c r="B148" s="27" t="inlineStr">
        <is>
          <t>단위</t>
        </is>
      </c>
      <c r="C148" s="27" t="inlineStr">
        <is>
          <t>FR-04</t>
        </is>
      </c>
      <c r="D148" s="28" t="inlineStr">
        <is>
          <t>SC-06</t>
        </is>
      </c>
      <c r="E148" s="27" t="inlineStr">
        <is>
          <t>보안</t>
        </is>
      </c>
      <c r="F148" s="29" t="inlineStr">
        <is>
          <t>issue_certificate: institution 이 아니면 발급 불가</t>
        </is>
      </c>
      <c r="G148" s="29" t="inlineStr">
        <is>
          <t>PermissionDeniedError</t>
        </is>
      </c>
      <c r="H148" s="28" t="inlineStr">
        <is>
          <t>Should</t>
        </is>
      </c>
      <c r="I148" s="30" t="n"/>
      <c r="J148" s="31">
        <f>IFERROR(INDEX('케이스별결과'!$B$4:$B$600,MATCH($A148,'케이스별결과'!$A$4:$A$600,0)),"미실행")</f>
        <v/>
      </c>
    </row>
    <row r="149">
      <c r="A149" s="27" t="inlineStr">
        <is>
          <t>UT-CERT-10</t>
        </is>
      </c>
      <c r="B149" s="27" t="inlineStr">
        <is>
          <t>단위</t>
        </is>
      </c>
      <c r="C149" s="27" t="inlineStr">
        <is>
          <t>FR-04</t>
        </is>
      </c>
      <c r="D149" s="28" t="inlineStr">
        <is>
          <t>SC-06</t>
        </is>
      </c>
      <c r="E149" s="27" t="inlineStr">
        <is>
          <t>비정상</t>
        </is>
      </c>
      <c r="F149" s="29" t="inlineStr">
        <is>
          <t>issue_certificate: 잘못된 cert_type / 빈 내용 / 없는 신청</t>
        </is>
      </c>
      <c r="G149" s="29" t="inlineStr">
        <is>
          <t>ValidationError / ValidationError / NotFoundError</t>
        </is>
      </c>
      <c r="H149" s="28" t="inlineStr">
        <is>
          <t>Should</t>
        </is>
      </c>
      <c r="I149" s="30" t="n"/>
      <c r="J149" s="31">
        <f>IFERROR(INDEX('케이스별결과'!$B$4:$B$600,MATCH($A149,'케이스별결과'!$A$4:$A$600,0)),"미실행")</f>
        <v/>
      </c>
    </row>
    <row r="150">
      <c r="A150" s="27" t="inlineStr">
        <is>
          <t>UT-CERT-11</t>
        </is>
      </c>
      <c r="B150" s="27" t="inlineStr">
        <is>
          <t>단위</t>
        </is>
      </c>
      <c r="C150" s="27" t="inlineStr">
        <is>
          <t>FR-04</t>
        </is>
      </c>
      <c r="D150" s="28" t="inlineStr">
        <is>
          <t>SC-06</t>
        </is>
      </c>
      <c r="E150" s="27" t="inlineStr">
        <is>
          <t>경계</t>
        </is>
      </c>
      <c r="F150" s="29" t="inlineStr">
        <is>
          <t>issue_certificate: KCMVP 유형도 발급</t>
        </is>
      </c>
      <c r="G150" s="29" t="inlineStr">
        <is>
          <t>cert_type='KCMVP'</t>
        </is>
      </c>
      <c r="H150" s="28" t="inlineStr">
        <is>
          <t>Should</t>
        </is>
      </c>
      <c r="I150" s="30" t="n"/>
      <c r="J150" s="31">
        <f>IFERROR(INDEX('케이스별결과'!$B$4:$B$600,MATCH($A150,'케이스별결과'!$A$4:$A$600,0)),"미실행")</f>
        <v/>
      </c>
    </row>
    <row r="151">
      <c r="A151" s="27" t="inlineStr">
        <is>
          <t>UT-CERT-12</t>
        </is>
      </c>
      <c r="B151" s="27" t="inlineStr">
        <is>
          <t>단위</t>
        </is>
      </c>
      <c r="C151" s="27" t="inlineStr">
        <is>
          <t>FR-04</t>
        </is>
      </c>
      <c r="D151" s="28" t="inlineStr">
        <is>
          <t>SC-06</t>
        </is>
      </c>
      <c r="E151" s="27" t="inlineStr">
        <is>
          <t>정상</t>
        </is>
      </c>
      <c r="F151" s="29" t="inlineStr">
        <is>
          <t>list_certificates: 본인 신청 소속만, 최신 발급순</t>
        </is>
      </c>
      <c r="G151" s="29" t="inlineStr">
        <is>
          <t>타인 검증서 제외, issued_at 내림차순</t>
        </is>
      </c>
      <c r="H151" s="28" t="inlineStr">
        <is>
          <t>Should</t>
        </is>
      </c>
      <c r="I151" s="30" t="n"/>
      <c r="J151" s="31">
        <f>IFERROR(INDEX('케이스별결과'!$B$4:$B$600,MATCH($A151,'케이스별결과'!$A$4:$A$600,0)),"미실행")</f>
        <v/>
      </c>
    </row>
    <row r="152">
      <c r="A152" s="27" t="inlineStr">
        <is>
          <t>UT-CERT-13</t>
        </is>
      </c>
      <c r="B152" s="27" t="inlineStr">
        <is>
          <t>단위</t>
        </is>
      </c>
      <c r="C152" s="27" t="inlineStr">
        <is>
          <t>FR-04</t>
        </is>
      </c>
      <c r="D152" s="28" t="inlineStr">
        <is>
          <t>SC-06</t>
        </is>
      </c>
      <c r="E152" s="27" t="inlineStr">
        <is>
          <t>경계</t>
        </is>
      </c>
      <c r="F152" s="29" t="inlineStr">
        <is>
          <t>list_certificates: 페이지네이션/경계/빈 목록</t>
        </is>
      </c>
      <c r="G152" s="29" t="inlineStr">
        <is>
          <t>per_page 1~50, page&gt;=1, 빈 목록은 total=0</t>
        </is>
      </c>
      <c r="H152" s="28" t="inlineStr">
        <is>
          <t>Should</t>
        </is>
      </c>
      <c r="I152" s="30" t="n"/>
      <c r="J152" s="31">
        <f>IFERROR(INDEX('케이스별결과'!$B$4:$B$600,MATCH($A152,'케이스별결과'!$A$4:$A$600,0)),"미실행")</f>
        <v/>
      </c>
    </row>
    <row r="153">
      <c r="A153" s="27" t="inlineStr">
        <is>
          <t>UT-CERT-14</t>
        </is>
      </c>
      <c r="B153" s="27" t="inlineStr">
        <is>
          <t>단위</t>
        </is>
      </c>
      <c r="C153" s="27" t="inlineStr">
        <is>
          <t>FR-04</t>
        </is>
      </c>
      <c r="D153" s="28" t="inlineStr">
        <is>
          <t>SC-06</t>
        </is>
      </c>
      <c r="E153" s="27" t="inlineStr">
        <is>
          <t>정상</t>
        </is>
      </c>
      <c r="F153" s="29" t="inlineStr">
        <is>
          <t>get_certificate: 본인 / 타인 / 없는 id</t>
        </is>
      </c>
      <c r="G153" s="29" t="inlineStr">
        <is>
          <t>본인 반환, 타인 PermissionDeniedError, 없는 id NotFoundError</t>
        </is>
      </c>
      <c r="H153" s="28" t="inlineStr">
        <is>
          <t>Should</t>
        </is>
      </c>
      <c r="I153" s="30" t="n"/>
      <c r="J153" s="31">
        <f>IFERROR(INDEX('케이스별결과'!$B$4:$B$600,MATCH($A153,'케이스별결과'!$A$4:$A$600,0)),"미실행")</f>
        <v/>
      </c>
    </row>
    <row r="154">
      <c r="A154" s="27" t="inlineStr">
        <is>
          <t>UT-CERT-15</t>
        </is>
      </c>
      <c r="B154" s="27" t="inlineStr">
        <is>
          <t>단위</t>
        </is>
      </c>
      <c r="C154" s="27" t="inlineStr">
        <is>
          <t>FR-05</t>
        </is>
      </c>
      <c r="D154" s="28" t="inlineStr">
        <is>
          <t>SC-07</t>
        </is>
      </c>
      <c r="E154" s="27" t="inlineStr">
        <is>
          <t>정상</t>
        </is>
      </c>
      <c r="F154" s="29" t="inlineStr">
        <is>
          <t>verify_integrity: 파일 무결 → normal</t>
        </is>
      </c>
      <c r="G154" s="29" t="inlineStr">
        <is>
          <t>tamper_status='normal'</t>
        </is>
      </c>
      <c r="H154" s="28" t="inlineStr">
        <is>
          <t>Should</t>
        </is>
      </c>
      <c r="I154" s="30" t="n"/>
      <c r="J154" s="31">
        <f>IFERROR(INDEX('케이스별결과'!$B$4:$B$600,MATCH($A154,'케이스별결과'!$A$4:$A$600,0)),"미실행")</f>
        <v/>
      </c>
    </row>
    <row r="155">
      <c r="A155" s="27" t="inlineStr">
        <is>
          <t>UT-CERT-16</t>
        </is>
      </c>
      <c r="B155" s="27" t="inlineStr">
        <is>
          <t>단위</t>
        </is>
      </c>
      <c r="C155" s="27" t="inlineStr">
        <is>
          <t>FR-05</t>
        </is>
      </c>
      <c r="D155" s="28" t="inlineStr">
        <is>
          <t>SC-07</t>
        </is>
      </c>
      <c r="E155" s="27" t="inlineStr">
        <is>
          <t>정상</t>
        </is>
      </c>
      <c r="F155" s="29" t="inlineStr">
        <is>
          <t>verify_integrity: 파일 변조 → suspected(DB 에도 반영)</t>
        </is>
      </c>
      <c r="G155" s="29" t="inlineStr">
        <is>
          <t>반환값과 DB 의 tamper_status 모두 'suspected'</t>
        </is>
      </c>
      <c r="H155" s="28" t="inlineStr">
        <is>
          <t>Should</t>
        </is>
      </c>
      <c r="I155" s="30" t="n"/>
      <c r="J155" s="31">
        <f>IFERROR(INDEX('케이스별결과'!$B$4:$B$600,MATCH($A155,'케이스별결과'!$A$4:$A$600,0)),"미실행")</f>
        <v/>
      </c>
    </row>
    <row r="156">
      <c r="A156" s="27" t="inlineStr">
        <is>
          <t>UT-CERT-17</t>
        </is>
      </c>
      <c r="B156" s="27" t="inlineStr">
        <is>
          <t>단위</t>
        </is>
      </c>
      <c r="C156" s="27" t="inlineStr">
        <is>
          <t>FR-05</t>
        </is>
      </c>
      <c r="D156" s="28" t="inlineStr">
        <is>
          <t>SC-07</t>
        </is>
      </c>
      <c r="E156" s="27" t="inlineStr">
        <is>
          <t>비정상</t>
        </is>
      </c>
      <c r="F156" s="29" t="inlineStr">
        <is>
          <t>verify_integrity: 파일 삭제/누락 → suspected</t>
        </is>
      </c>
      <c r="G156" s="29" t="inlineStr">
        <is>
          <t>'suspected' (예외 아님)</t>
        </is>
      </c>
      <c r="H156" s="28" t="inlineStr">
        <is>
          <t>Should</t>
        </is>
      </c>
      <c r="I156" s="30" t="n"/>
      <c r="J156" s="31">
        <f>IFERROR(INDEX('케이스별결과'!$B$4:$B$600,MATCH($A156,'케이스별결과'!$A$4:$A$600,0)),"미실행")</f>
        <v/>
      </c>
    </row>
    <row r="157">
      <c r="A157" s="27" t="inlineStr">
        <is>
          <t>UT-CERT-18</t>
        </is>
      </c>
      <c r="B157" s="27" t="inlineStr">
        <is>
          <t>단위</t>
        </is>
      </c>
      <c r="C157" s="27" t="inlineStr">
        <is>
          <t>FR-05</t>
        </is>
      </c>
      <c r="D157" s="28" t="inlineStr">
        <is>
          <t>SC-07</t>
        </is>
      </c>
      <c r="E157" s="27" t="inlineStr">
        <is>
          <t>경계</t>
        </is>
      </c>
      <c r="F157" s="29" t="inlineStr">
        <is>
          <t>verify_integrity: 원복 후 재검증 시 normal</t>
        </is>
      </c>
      <c r="G157" s="29" t="inlineStr">
        <is>
          <t>변조 → suspected, 원복 → normal</t>
        </is>
      </c>
      <c r="H157" s="28" t="inlineStr">
        <is>
          <t>Should</t>
        </is>
      </c>
      <c r="I157" s="30" t="n"/>
      <c r="J157" s="31">
        <f>IFERROR(INDEX('케이스별결과'!$B$4:$B$600,MATCH($A157,'케이스별결과'!$A$4:$A$600,0)),"미실행")</f>
        <v/>
      </c>
    </row>
    <row r="158">
      <c r="A158" s="27" t="inlineStr">
        <is>
          <t>UT-CERT-19</t>
        </is>
      </c>
      <c r="B158" s="27" t="inlineStr">
        <is>
          <t>단위</t>
        </is>
      </c>
      <c r="C158" s="27" t="inlineStr">
        <is>
          <t>FR-05</t>
        </is>
      </c>
      <c r="D158" s="28" t="inlineStr">
        <is>
          <t>SC-07</t>
        </is>
      </c>
      <c r="E158" s="27" t="inlineStr">
        <is>
          <t>비정상</t>
        </is>
      </c>
      <c r="F158" s="29" t="inlineStr">
        <is>
          <t>verify_integrity: 존재하지 않는 cert_id</t>
        </is>
      </c>
      <c r="G158" s="29" t="inlineStr">
        <is>
          <t>NotFoundError</t>
        </is>
      </c>
      <c r="H158" s="28" t="inlineStr">
        <is>
          <t>Should</t>
        </is>
      </c>
      <c r="I158" s="30" t="n"/>
      <c r="J158" s="31">
        <f>IFERROR(INDEX('케이스별결과'!$B$4:$B$600,MATCH($A158,'케이스별결과'!$A$4:$A$600,0)),"미실행")</f>
        <v/>
      </c>
    </row>
    <row r="159">
      <c r="A159" s="27" t="inlineStr">
        <is>
          <t>UT-CERT-20</t>
        </is>
      </c>
      <c r="B159" s="27" t="inlineStr">
        <is>
          <t>단위</t>
        </is>
      </c>
      <c r="C159" s="27" t="inlineStr">
        <is>
          <t>FR-05</t>
        </is>
      </c>
      <c r="D159" s="28" t="inlineStr">
        <is>
          <t>SC-07</t>
        </is>
      </c>
      <c r="E159" s="27" t="inlineStr">
        <is>
          <t>보안</t>
        </is>
      </c>
      <c r="F159" s="29" t="inlineStr">
        <is>
          <t>verify_integrity: 저장된 integrity_hash 자체는 변경하지 않음</t>
        </is>
      </c>
      <c r="G159" s="29" t="inlineStr">
        <is>
          <t>검증 후에도 integrity_hash 불변</t>
        </is>
      </c>
      <c r="H159" s="28" t="inlineStr">
        <is>
          <t>Should</t>
        </is>
      </c>
      <c r="I159" s="30" t="n"/>
      <c r="J159" s="31">
        <f>IFERROR(INDEX('케이스별결과'!$B$4:$B$600,MATCH($A159,'케이스별결과'!$A$4:$A$600,0)),"미실행")</f>
        <v/>
      </c>
    </row>
    <row r="160">
      <c r="A160" s="27" t="inlineStr">
        <is>
          <t>UT-CERT-21</t>
        </is>
      </c>
      <c r="B160" s="27" t="inlineStr">
        <is>
          <t>단위</t>
        </is>
      </c>
      <c r="C160" s="27" t="inlineStr">
        <is>
          <t>FR-05</t>
        </is>
      </c>
      <c r="D160" s="28" t="inlineStr">
        <is>
          <t>SC-07</t>
        </is>
      </c>
      <c r="E160" s="27" t="inlineStr">
        <is>
          <t>경계</t>
        </is>
      </c>
      <c r="F160" s="29" t="inlineStr">
        <is>
          <t>verify_integrity: 시드처럼 이미 suspected 인 건(파일 없음)</t>
        </is>
      </c>
      <c r="G160" s="29" t="inlineStr">
        <is>
          <t>파일이 없으면 suspected 유지</t>
        </is>
      </c>
      <c r="H160" s="28" t="inlineStr">
        <is>
          <t>Should</t>
        </is>
      </c>
      <c r="I160" s="30" t="n"/>
      <c r="J160" s="31">
        <f>IFERROR(INDEX('케이스별결과'!$B$4:$B$600,MATCH($A160,'케이스별결과'!$A$4:$A$600,0)),"미실행")</f>
        <v/>
      </c>
    </row>
    <row r="161">
      <c r="A161" s="27" t="inlineStr">
        <is>
          <t>UT-DASH-01</t>
        </is>
      </c>
      <c r="B161" s="27" t="inlineStr">
        <is>
          <t>단위</t>
        </is>
      </c>
      <c r="C161" s="27" t="inlineStr">
        <is>
          <t>FR-03</t>
        </is>
      </c>
      <c r="D161" s="28" t="inlineStr">
        <is>
          <t>SC-02</t>
        </is>
      </c>
      <c r="E161" s="27" t="inlineStr">
        <is>
          <t>정상</t>
        </is>
      </c>
      <c r="F161" s="29" t="inlineStr">
        <is>
          <t>get_summary: 본인 신청만 집계</t>
        </is>
      </c>
      <c r="G161" s="29" t="inlineStr">
        <is>
          <t>타인 신청은 total·by_status 에 포함되지 않음</t>
        </is>
      </c>
      <c r="H161" s="28" t="inlineStr">
        <is>
          <t>Must</t>
        </is>
      </c>
      <c r="I161" s="30" t="n"/>
      <c r="J161" s="31">
        <f>IFERROR(INDEX('케이스별결과'!$B$4:$B$600,MATCH($A161,'케이스별결과'!$A$4:$A$600,0)),"미실행")</f>
        <v/>
      </c>
    </row>
    <row r="162">
      <c r="A162" s="27" t="inlineStr">
        <is>
          <t>UT-DASH-02</t>
        </is>
      </c>
      <c r="B162" s="27" t="inlineStr">
        <is>
          <t>단위</t>
        </is>
      </c>
      <c r="C162" s="27" t="inlineStr">
        <is>
          <t>FR-03</t>
        </is>
      </c>
      <c r="D162" s="28" t="inlineStr">
        <is>
          <t>SC-02</t>
        </is>
      </c>
      <c r="E162" s="27" t="inlineStr">
        <is>
          <t>정상</t>
        </is>
      </c>
      <c r="F162" s="29" t="inlineStr">
        <is>
          <t>get_summary: 진행 중 = 접수 대기 + 심사 중, by_status 는 4개 키 항상 존재</t>
        </is>
      </c>
      <c r="G162" s="29" t="inlineStr">
        <is>
          <t>in_progress 합산, 0건 상태도 0 으로 표기</t>
        </is>
      </c>
      <c r="H162" s="28" t="inlineStr">
        <is>
          <t>Must</t>
        </is>
      </c>
      <c r="I162" s="30" t="n"/>
      <c r="J162" s="31">
        <f>IFERROR(INDEX('케이스별결과'!$B$4:$B$600,MATCH($A162,'케이스별결과'!$A$4:$A$600,0)),"미실행")</f>
        <v/>
      </c>
    </row>
    <row r="163">
      <c r="A163" s="27" t="inlineStr">
        <is>
          <t>UT-DASH-03</t>
        </is>
      </c>
      <c r="B163" s="27" t="inlineStr">
        <is>
          <t>단위</t>
        </is>
      </c>
      <c r="C163" s="27" t="inlineStr">
        <is>
          <t>FR-03</t>
        </is>
      </c>
      <c r="D163" s="28" t="inlineStr">
        <is>
          <t>SC-02</t>
        </is>
      </c>
      <c r="E163" s="27" t="inlineStr">
        <is>
          <t>경계</t>
        </is>
      </c>
      <c r="F163" s="29" t="inlineStr">
        <is>
          <t>get_summary: 데이터가 전혀 없는 신규 사용자</t>
        </is>
      </c>
      <c r="G163" s="29" t="inlineStr">
        <is>
          <t>모든 수치 0, 목록·알림 빈 배열, 가명처리 미처리</t>
        </is>
      </c>
      <c r="H163" s="28" t="inlineStr">
        <is>
          <t>Must</t>
        </is>
      </c>
      <c r="I163" s="30" t="n"/>
      <c r="J163" s="31">
        <f>IFERROR(INDEX('케이스별결과'!$B$4:$B$600,MATCH($A163,'케이스별결과'!$A$4:$A$600,0)),"미실행")</f>
        <v/>
      </c>
    </row>
    <row r="164">
      <c r="A164" s="27" t="inlineStr">
        <is>
          <t>UT-DASH-04</t>
        </is>
      </c>
      <c r="B164" s="27" t="inlineStr">
        <is>
          <t>단위</t>
        </is>
      </c>
      <c r="C164" s="27" t="inlineStr">
        <is>
          <t>FR-03</t>
        </is>
      </c>
      <c r="D164" s="28" t="inlineStr">
        <is>
          <t>SC-02</t>
        </is>
      </c>
      <c r="E164" s="27" t="inlineStr">
        <is>
          <t>정상</t>
        </is>
      </c>
      <c r="F164" s="29" t="inlineStr">
        <is>
          <t>get_summary: 최근 신청은 최신순 최대 3건</t>
        </is>
      </c>
      <c r="G164" s="29" t="inlineStr">
        <is>
          <t>5건 중 최신 3건, 필드 id/algorithm_type/status/status_label/submitted_at(YYYY-MM-DD)</t>
        </is>
      </c>
      <c r="H164" s="28" t="inlineStr">
        <is>
          <t>Must</t>
        </is>
      </c>
      <c r="I164" s="30" t="n"/>
      <c r="J164" s="31">
        <f>IFERROR(INDEX('케이스별결과'!$B$4:$B$600,MATCH($A164,'케이스별결과'!$A$4:$A$600,0)),"미실행")</f>
        <v/>
      </c>
    </row>
    <row r="165">
      <c r="A165" s="27" t="inlineStr">
        <is>
          <t>UT-DASH-05</t>
        </is>
      </c>
      <c r="B165" s="27" t="inlineStr">
        <is>
          <t>단위</t>
        </is>
      </c>
      <c r="C165" s="27" t="inlineStr">
        <is>
          <t>FR-03</t>
        </is>
      </c>
      <c r="D165" s="28" t="inlineStr">
        <is>
          <t>SC-02</t>
        </is>
      </c>
      <c r="E165" s="27" t="inlineStr">
        <is>
          <t>정상</t>
        </is>
      </c>
      <c r="F165" s="29" t="inlineStr">
        <is>
          <t>get_summary: 상태 라벨 매핑</t>
        </is>
      </c>
      <c r="G165" s="29" t="inlineStr">
        <is>
          <t>submitted 접수 대기 / reviewing 시험 진행중 / approved 시험 완료 / rejected 반려</t>
        </is>
      </c>
      <c r="H165" s="28" t="inlineStr">
        <is>
          <t>Must</t>
        </is>
      </c>
      <c r="I165" s="30" t="n"/>
      <c r="J165" s="31">
        <f>IFERROR(INDEX('케이스별결과'!$B$4:$B$600,MATCH($A165,'케이스별결과'!$A$4:$A$600,0)),"미실행")</f>
        <v/>
      </c>
    </row>
    <row r="166">
      <c r="A166" s="27" t="inlineStr">
        <is>
          <t>UT-DASH-06</t>
        </is>
      </c>
      <c r="B166" s="27" t="inlineStr">
        <is>
          <t>단위</t>
        </is>
      </c>
      <c r="C166" s="27" t="inlineStr">
        <is>
          <t>FR-03</t>
        </is>
      </c>
      <c r="D166" s="28" t="inlineStr">
        <is>
          <t>SC-02</t>
        </is>
      </c>
      <c r="E166" s="27" t="inlineStr">
        <is>
          <t>경계</t>
        </is>
      </c>
      <c r="F166" s="29" t="inlineStr">
        <is>
          <t>get_summary: 최근 7일 신규 신청 경계</t>
        </is>
      </c>
      <c r="G166" s="29" t="inlineStr">
        <is>
          <t>정확히 7일 전은 포함, 7일 1분 초과는 제외</t>
        </is>
      </c>
      <c r="H166" s="28" t="inlineStr">
        <is>
          <t>Must</t>
        </is>
      </c>
      <c r="I166" s="30" t="n"/>
      <c r="J166" s="31">
        <f>IFERROR(INDEX('케이스별결과'!$B$4:$B$600,MATCH($A166,'케이스별결과'!$A$4:$A$600,0)),"미실행")</f>
        <v/>
      </c>
    </row>
    <row r="167">
      <c r="A167" s="27" t="inlineStr">
        <is>
          <t>UT-DASH-07</t>
        </is>
      </c>
      <c r="B167" s="27" t="inlineStr">
        <is>
          <t>단위</t>
        </is>
      </c>
      <c r="C167" s="27" t="inlineStr">
        <is>
          <t>FR-04</t>
        </is>
      </c>
      <c r="D167" s="28" t="inlineStr">
        <is>
          <t>SC-02</t>
        </is>
      </c>
      <c r="E167" s="27" t="inlineStr">
        <is>
          <t>정상</t>
        </is>
      </c>
      <c r="F167" s="29" t="inlineStr">
        <is>
          <t>get_summary: 검증서 집계(본인 신청 소속만, 위변조 의심 별도)</t>
        </is>
      </c>
      <c r="G167" s="29" t="inlineStr">
        <is>
          <t>total·suspected 가 본인 건만 반영</t>
        </is>
      </c>
      <c r="H167" s="28" t="inlineStr">
        <is>
          <t>Should</t>
        </is>
      </c>
      <c r="I167" s="30" t="n"/>
      <c r="J167" s="31">
        <f>IFERROR(INDEX('케이스별결과'!$B$4:$B$600,MATCH($A167,'케이스별결과'!$A$4:$A$600,0)),"미실행")</f>
        <v/>
      </c>
    </row>
    <row r="168">
      <c r="A168" s="27" t="inlineStr">
        <is>
          <t>UT-DASH-08</t>
        </is>
      </c>
      <c r="B168" s="27" t="inlineStr">
        <is>
          <t>단위</t>
        </is>
      </c>
      <c r="C168" s="27" t="inlineStr">
        <is>
          <t>FR-02</t>
        </is>
      </c>
      <c r="D168" s="28" t="inlineStr">
        <is>
          <t>SC-02</t>
        </is>
      </c>
      <c r="E168" s="27" t="inlineStr">
        <is>
          <t>정상</t>
        </is>
      </c>
      <c r="F168" s="29" t="inlineStr">
        <is>
          <t>get_summary: 가명·익명 처리 상태</t>
        </is>
      </c>
      <c r="G168" s="29" t="inlineStr">
        <is>
          <t>처리 전 processed=False, 처리 후 level 반영</t>
        </is>
      </c>
      <c r="H168" s="28" t="inlineStr">
        <is>
          <t>Must</t>
        </is>
      </c>
      <c r="I168" s="30" t="n"/>
      <c r="J168" s="31">
        <f>IFERROR(INDEX('케이스별결과'!$B$4:$B$600,MATCH($A168,'케이스별결과'!$A$4:$A$600,0)),"미실행")</f>
        <v/>
      </c>
    </row>
    <row r="169">
      <c r="A169" s="27" t="inlineStr">
        <is>
          <t>UT-DASH-09</t>
        </is>
      </c>
      <c r="B169" s="27" t="inlineStr">
        <is>
          <t>단위</t>
        </is>
      </c>
      <c r="C169" s="27" t="inlineStr">
        <is>
          <t>FR-05</t>
        </is>
      </c>
      <c r="D169" s="28" t="inlineStr">
        <is>
          <t>SC-02</t>
        </is>
      </c>
      <c r="E169" s="27" t="inlineStr">
        <is>
          <t>정상</t>
        </is>
      </c>
      <c r="F169" s="29" t="inlineStr">
        <is>
          <t>get_summary: 위변조 의심 알림이 최우선</t>
        </is>
      </c>
      <c r="G169" s="29" t="inlineStr">
        <is>
          <t>첫 알림이 warning, 메시지에 CV-0000 형식 번호 포함</t>
        </is>
      </c>
      <c r="H169" s="28" t="inlineStr">
        <is>
          <t>Should</t>
        </is>
      </c>
      <c r="I169" s="30" t="n"/>
      <c r="J169" s="31">
        <f>IFERROR(INDEX('케이스별결과'!$B$4:$B$600,MATCH($A169,'케이스별결과'!$A$4:$A$600,0)),"미실행")</f>
        <v/>
      </c>
    </row>
    <row r="170">
      <c r="A170" s="27" t="inlineStr">
        <is>
          <t>UT-DASH-10</t>
        </is>
      </c>
      <c r="B170" s="27" t="inlineStr">
        <is>
          <t>단위</t>
        </is>
      </c>
      <c r="C170" s="27" t="inlineStr">
        <is>
          <t>FR-03</t>
        </is>
      </c>
      <c r="D170" s="28" t="inlineStr">
        <is>
          <t>SC-02</t>
        </is>
      </c>
      <c r="E170" s="27" t="inlineStr">
        <is>
          <t>정상</t>
        </is>
      </c>
      <c r="F170" s="29" t="inlineStr">
        <is>
          <t>get_summary: 신청 진행/결과 알림 문구</t>
        </is>
      </c>
      <c r="G170" s="29" t="inlineStr">
        <is>
          <t>reviewing 심사 중 / approved 승인 / rejected 반려, submitted 는 알림 없음</t>
        </is>
      </c>
      <c r="H170" s="28" t="inlineStr">
        <is>
          <t>Must</t>
        </is>
      </c>
      <c r="I170" s="30" t="n"/>
      <c r="J170" s="31">
        <f>IFERROR(INDEX('케이스별결과'!$B$4:$B$600,MATCH($A170,'케이스별결과'!$A$4:$A$600,0)),"미실행")</f>
        <v/>
      </c>
    </row>
    <row r="171">
      <c r="A171" s="27" t="inlineStr">
        <is>
          <t>UT-DASH-11</t>
        </is>
      </c>
      <c r="B171" s="27" t="inlineStr">
        <is>
          <t>단위</t>
        </is>
      </c>
      <c r="C171" s="27" t="inlineStr">
        <is>
          <t>FR-03</t>
        </is>
      </c>
      <c r="D171" s="28" t="inlineStr">
        <is>
          <t>SC-02</t>
        </is>
      </c>
      <c r="E171" s="27" t="inlineStr">
        <is>
          <t>경계</t>
        </is>
      </c>
      <c r="F171" s="29" t="inlineStr">
        <is>
          <t>get_summary: 알림은 최대 5건</t>
        </is>
      </c>
      <c r="G171" s="29" t="inlineStr">
        <is>
          <t>8건 발생해도 5건만, 위변조 경고가 잘리지 않음</t>
        </is>
      </c>
      <c r="H171" s="28" t="inlineStr">
        <is>
          <t>Must</t>
        </is>
      </c>
      <c r="I171" s="30" t="n"/>
      <c r="J171" s="31">
        <f>IFERROR(INDEX('케이스별결과'!$B$4:$B$600,MATCH($A171,'케이스별결과'!$A$4:$A$600,0)),"미실행")</f>
        <v/>
      </c>
    </row>
    <row r="172">
      <c r="A172" s="27" t="inlineStr">
        <is>
          <t>UT-DASH-12</t>
        </is>
      </c>
      <c r="B172" s="27" t="inlineStr">
        <is>
          <t>단위</t>
        </is>
      </c>
      <c r="C172" s="27" t="inlineStr">
        <is>
          <t>FR-04</t>
        </is>
      </c>
      <c r="D172" s="28" t="inlineStr">
        <is>
          <t>SC-02</t>
        </is>
      </c>
      <c r="E172" s="27" t="inlineStr">
        <is>
          <t>정상</t>
        </is>
      </c>
      <c r="F172" s="29" t="inlineStr">
        <is>
          <t>get_summary: 기관(institution) 사용자는 전체 집계</t>
        </is>
      </c>
      <c r="G172" s="29" t="inlineStr">
        <is>
          <t>scope='all', 타인 신청·검증서 포함, 가명처리는 본인 기준</t>
        </is>
      </c>
      <c r="H172" s="28" t="inlineStr">
        <is>
          <t>Should</t>
        </is>
      </c>
      <c r="I172" s="30" t="n"/>
      <c r="J172" s="31">
        <f>IFERROR(INDEX('케이스별결과'!$B$4:$B$600,MATCH($A172,'케이스별결과'!$A$4:$A$600,0)),"미실행")</f>
        <v/>
      </c>
    </row>
    <row r="173">
      <c r="A173" s="27" t="inlineStr">
        <is>
          <t>UT-DASH-13</t>
        </is>
      </c>
      <c r="B173" s="27" t="inlineStr">
        <is>
          <t>단위</t>
        </is>
      </c>
      <c r="C173" s="27" t="inlineStr">
        <is>
          <t>FR-01</t>
        </is>
      </c>
      <c r="D173" s="28" t="inlineStr">
        <is>
          <t>SC-02</t>
        </is>
      </c>
      <c r="E173" s="27" t="inlineStr">
        <is>
          <t>정상</t>
        </is>
      </c>
      <c r="F173" s="29" t="inlineStr">
        <is>
          <t>get_summary: 기업 사용자는 개인과 동일하게 본인 범위</t>
        </is>
      </c>
      <c r="G173" s="29" t="inlineStr">
        <is>
          <t>scope='own'</t>
        </is>
      </c>
      <c r="H173" s="28" t="inlineStr">
        <is>
          <t>Must</t>
        </is>
      </c>
      <c r="I173" s="30" t="n"/>
      <c r="J173" s="31">
        <f>IFERROR(INDEX('케이스별결과'!$B$4:$B$600,MATCH($A173,'케이스별결과'!$A$4:$A$600,0)),"미실행")</f>
        <v/>
      </c>
    </row>
    <row r="174">
      <c r="A174" s="27" t="inlineStr">
        <is>
          <t>UT-DASH-14</t>
        </is>
      </c>
      <c r="B174" s="27" t="inlineStr">
        <is>
          <t>단위</t>
        </is>
      </c>
      <c r="C174" s="27" t="inlineStr">
        <is>
          <t>FR-01</t>
        </is>
      </c>
      <c r="D174" s="28" t="inlineStr">
        <is>
          <t>SC-02</t>
        </is>
      </c>
      <c r="E174" s="27" t="inlineStr">
        <is>
          <t>비정상</t>
        </is>
      </c>
      <c r="F174" s="29" t="inlineStr">
        <is>
          <t>get_summary: 없는 사용자</t>
        </is>
      </c>
      <c r="G174" s="29" t="inlineStr">
        <is>
          <t>NotFoundError</t>
        </is>
      </c>
      <c r="H174" s="28" t="inlineStr">
        <is>
          <t>Must</t>
        </is>
      </c>
      <c r="I174" s="30" t="n"/>
      <c r="J174" s="31">
        <f>IFERROR(INDEX('케이스별결과'!$B$4:$B$600,MATCH($A174,'케이스별결과'!$A$4:$A$600,0)),"미실행")</f>
        <v/>
      </c>
    </row>
    <row r="175">
      <c r="A175" s="27" t="inlineStr">
        <is>
          <t>UT-DASH-15</t>
        </is>
      </c>
      <c r="B175" s="27" t="inlineStr">
        <is>
          <t>단위</t>
        </is>
      </c>
      <c r="C175" s="27" t="inlineStr">
        <is>
          <t>FR-01</t>
        </is>
      </c>
      <c r="D175" s="28" t="inlineStr">
        <is>
          <t>SC-02</t>
        </is>
      </c>
      <c r="E175" s="27" t="inlineStr">
        <is>
          <t>보안</t>
        </is>
      </c>
      <c r="F175" s="29" t="inlineStr">
        <is>
          <t>get_summary: 사용자 정보에 username/user_type 만, 민감 필드 없음</t>
        </is>
      </c>
      <c r="G175" s="29" t="inlineStr">
        <is>
          <t>결과 전체에 password/hash 키 없음</t>
        </is>
      </c>
      <c r="H175" s="28" t="inlineStr">
        <is>
          <t>Must</t>
        </is>
      </c>
      <c r="I175" s="30" t="n"/>
      <c r="J175" s="31">
        <f>IFERROR(INDEX('케이스별결과'!$B$4:$B$600,MATCH($A175,'케이스별결과'!$A$4:$A$600,0)),"미실행")</f>
        <v/>
      </c>
    </row>
    <row r="176">
      <c r="A176" s="27" t="inlineStr">
        <is>
          <t>UT-DASH-16</t>
        </is>
      </c>
      <c r="B176" s="27" t="inlineStr">
        <is>
          <t>단위</t>
        </is>
      </c>
      <c r="C176" s="27" t="inlineStr">
        <is>
          <t>FR-03</t>
        </is>
      </c>
      <c r="D176" s="28" t="inlineStr">
        <is>
          <t>SC-02</t>
        </is>
      </c>
      <c r="E176" s="27" t="inlineStr">
        <is>
          <t>보안</t>
        </is>
      </c>
      <c r="F176" s="29" t="inlineStr">
        <is>
          <t>get_summary: 타인 신청이 최근 목록·알림에 노출되지 않음</t>
        </is>
      </c>
      <c r="G176" s="29" t="inlineStr">
        <is>
          <t>타인 신청의 알고리즘/상태가 결과에 없음</t>
        </is>
      </c>
      <c r="H176" s="28" t="inlineStr">
        <is>
          <t>Must</t>
        </is>
      </c>
      <c r="I176" s="30" t="n"/>
      <c r="J176" s="31">
        <f>IFERROR(INDEX('케이스별결과'!$B$4:$B$600,MATCH($A176,'케이스별결과'!$A$4:$A$600,0)),"미실행")</f>
        <v/>
      </c>
    </row>
    <row r="177">
      <c r="A177" s="27" t="inlineStr">
        <is>
          <t>UT-PRIV-01</t>
        </is>
      </c>
      <c r="B177" s="27" t="inlineStr">
        <is>
          <t>단위</t>
        </is>
      </c>
      <c r="C177" s="27" t="inlineStr">
        <is>
          <t>FR-02</t>
        </is>
      </c>
      <c r="D177" s="28" t="inlineStr">
        <is>
          <t>SC-03</t>
        </is>
      </c>
      <c r="E177" s="27" t="inlineStr">
        <is>
          <t>정상</t>
        </is>
      </c>
      <c r="F177" s="29" t="inlineStr">
        <is>
          <t>issue_pseudonym_id: 형식 'PSN-'+16hex</t>
        </is>
      </c>
      <c r="G177" s="29" t="inlineStr">
        <is>
          <t>정규식 ^PSN-[0-9a-f]{16}$ 일치</t>
        </is>
      </c>
      <c r="H177" s="28" t="inlineStr">
        <is>
          <t>Must</t>
        </is>
      </c>
      <c r="I177" s="30" t="n"/>
      <c r="J177" s="31">
        <f>IFERROR(INDEX('케이스별결과'!$B$4:$B$600,MATCH($A177,'케이스별결과'!$A$4:$A$600,0)),"미실행")</f>
        <v/>
      </c>
    </row>
    <row r="178">
      <c r="A178" s="27" t="inlineStr">
        <is>
          <t>UT-PRIV-02</t>
        </is>
      </c>
      <c r="B178" s="27" t="inlineStr">
        <is>
          <t>단위</t>
        </is>
      </c>
      <c r="C178" s="27" t="inlineStr">
        <is>
          <t>FR-02</t>
        </is>
      </c>
      <c r="D178" s="28" t="inlineStr">
        <is>
          <t>SC-03</t>
        </is>
      </c>
      <c r="E178" s="27" t="inlineStr">
        <is>
          <t>정상</t>
        </is>
      </c>
      <c r="F178" s="29" t="inlineStr">
        <is>
          <t>issue_pseudonym_id: 호출마다 다른 값</t>
        </is>
      </c>
      <c r="G178" s="29" t="inlineStr">
        <is>
          <t>1000회 호출 모두 유일</t>
        </is>
      </c>
      <c r="H178" s="28" t="inlineStr">
        <is>
          <t>Must</t>
        </is>
      </c>
      <c r="I178" s="30" t="n"/>
      <c r="J178" s="31">
        <f>IFERROR(INDEX('케이스별결과'!$B$4:$B$600,MATCH($A178,'케이스별결과'!$A$4:$A$600,0)),"미실행")</f>
        <v/>
      </c>
    </row>
    <row r="179">
      <c r="A179" s="27" t="inlineStr">
        <is>
          <t>UT-PRIV-03</t>
        </is>
      </c>
      <c r="B179" s="27" t="inlineStr">
        <is>
          <t>단위</t>
        </is>
      </c>
      <c r="C179" s="27" t="inlineStr">
        <is>
          <t>FR-02</t>
        </is>
      </c>
      <c r="D179" s="28" t="inlineStr">
        <is>
          <t>SC-03</t>
        </is>
      </c>
      <c r="E179" s="27" t="inlineStr">
        <is>
          <t>경계</t>
        </is>
      </c>
      <c r="F179" s="29" t="inlineStr">
        <is>
          <t>mask_name: 길이별 마스킹 규칙</t>
        </is>
      </c>
      <c r="G179" s="29" t="inlineStr">
        <is>
          <t>홍길동→홍*동, 남궁민수→남**수, 홍길→홍*, 홍→*, John→J**n</t>
        </is>
      </c>
      <c r="H179" s="28" t="inlineStr">
        <is>
          <t>Must</t>
        </is>
      </c>
      <c r="I179" s="30" t="n"/>
      <c r="J179" s="31">
        <f>IFERROR(INDEX('케이스별결과'!$B$4:$B$600,MATCH($A179,'케이스별결과'!$A$4:$A$600,0)),"미실행")</f>
        <v/>
      </c>
    </row>
    <row r="180">
      <c r="A180" s="27" t="inlineStr">
        <is>
          <t>UT-PRIV-04</t>
        </is>
      </c>
      <c r="B180" s="27" t="inlineStr">
        <is>
          <t>단위</t>
        </is>
      </c>
      <c r="C180" s="27" t="inlineStr">
        <is>
          <t>FR-02</t>
        </is>
      </c>
      <c r="D180" s="28" t="inlineStr">
        <is>
          <t>SC-03</t>
        </is>
      </c>
      <c r="E180" s="27" t="inlineStr">
        <is>
          <t>비정상</t>
        </is>
      </c>
      <c r="F180" s="29" t="inlineStr">
        <is>
          <t>mask_name: 빈 값/공백만</t>
        </is>
      </c>
      <c r="G180" s="29" t="inlineStr">
        <is>
          <t>ValidationError</t>
        </is>
      </c>
      <c r="H180" s="28" t="inlineStr">
        <is>
          <t>Must</t>
        </is>
      </c>
      <c r="I180" s="30" t="n"/>
      <c r="J180" s="31">
        <f>IFERROR(INDEX('케이스별결과'!$B$4:$B$600,MATCH($A180,'케이스별결과'!$A$4:$A$600,0)),"미실행")</f>
        <v/>
      </c>
    </row>
    <row r="181">
      <c r="A181" s="27" t="inlineStr">
        <is>
          <t>UT-PRIV-05</t>
        </is>
      </c>
      <c r="B181" s="27" t="inlineStr">
        <is>
          <t>단위</t>
        </is>
      </c>
      <c r="C181" s="27" t="inlineStr">
        <is>
          <t>FR-02</t>
        </is>
      </c>
      <c r="D181" s="28" t="inlineStr">
        <is>
          <t>SC-03</t>
        </is>
      </c>
      <c r="E181" s="27" t="inlineStr">
        <is>
          <t>경계</t>
        </is>
      </c>
      <c r="F181" s="29" t="inlineStr">
        <is>
          <t>mask_name: 앞뒤 공백은 제거 후 마스킹</t>
        </is>
      </c>
      <c r="G181" s="29" t="inlineStr">
        <is>
          <t>' 홍길동 ' → '홍*동'</t>
        </is>
      </c>
      <c r="H181" s="28" t="inlineStr">
        <is>
          <t>Must</t>
        </is>
      </c>
      <c r="I181" s="30" t="n"/>
      <c r="J181" s="31">
        <f>IFERROR(INDEX('케이스별결과'!$B$4:$B$600,MATCH($A181,'케이스별결과'!$A$4:$A$600,0)),"미실행")</f>
        <v/>
      </c>
    </row>
    <row r="182">
      <c r="A182" s="27" t="inlineStr">
        <is>
          <t>UT-PRIV-06</t>
        </is>
      </c>
      <c r="B182" s="27" t="inlineStr">
        <is>
          <t>단위</t>
        </is>
      </c>
      <c r="C182" s="27" t="inlineStr">
        <is>
          <t>FR-02</t>
        </is>
      </c>
      <c r="D182" s="28" t="inlineStr">
        <is>
          <t>SC-03</t>
        </is>
      </c>
      <c r="E182" s="27" t="inlineStr">
        <is>
          <t>정상</t>
        </is>
      </c>
      <c r="F182" s="29" t="inlineStr">
        <is>
          <t>mask_phone: 하이픈 유/무 입력</t>
        </is>
      </c>
      <c r="G182" s="29" t="inlineStr">
        <is>
          <t>모두 '010-****-5678'</t>
        </is>
      </c>
      <c r="H182" s="28" t="inlineStr">
        <is>
          <t>Must</t>
        </is>
      </c>
      <c r="I182" s="30" t="n"/>
      <c r="J182" s="31">
        <f>IFERROR(INDEX('케이스별결과'!$B$4:$B$600,MATCH($A182,'케이스별결과'!$A$4:$A$600,0)),"미실행")</f>
        <v/>
      </c>
    </row>
    <row r="183">
      <c r="A183" s="27" t="inlineStr">
        <is>
          <t>UT-PRIV-07</t>
        </is>
      </c>
      <c r="B183" s="27" t="inlineStr">
        <is>
          <t>단위</t>
        </is>
      </c>
      <c r="C183" s="27" t="inlineStr">
        <is>
          <t>FR-02</t>
        </is>
      </c>
      <c r="D183" s="28" t="inlineStr">
        <is>
          <t>SC-03</t>
        </is>
      </c>
      <c r="E183" s="27" t="inlineStr">
        <is>
          <t>경계</t>
        </is>
      </c>
      <c r="F183" s="29" t="inlineStr">
        <is>
          <t>mask_phone: 3자리 국번 형식(010-123-4567)</t>
        </is>
      </c>
      <c r="G183" s="29" t="inlineStr">
        <is>
          <t>'010-***-4567'</t>
        </is>
      </c>
      <c r="H183" s="28" t="inlineStr">
        <is>
          <t>Must</t>
        </is>
      </c>
      <c r="I183" s="30" t="n"/>
      <c r="J183" s="31">
        <f>IFERROR(INDEX('케이스별결과'!$B$4:$B$600,MATCH($A183,'케이스별결과'!$A$4:$A$600,0)),"미실행")</f>
        <v/>
      </c>
    </row>
    <row r="184">
      <c r="A184" s="27" t="inlineStr">
        <is>
          <t>UT-PRIV-08</t>
        </is>
      </c>
      <c r="B184" s="27" t="inlineStr">
        <is>
          <t>단위</t>
        </is>
      </c>
      <c r="C184" s="27" t="inlineStr">
        <is>
          <t>FR-02</t>
        </is>
      </c>
      <c r="D184" s="28" t="inlineStr">
        <is>
          <t>SC-03</t>
        </is>
      </c>
      <c r="E184" s="27" t="inlineStr">
        <is>
          <t>비정상</t>
        </is>
      </c>
      <c r="F184" s="29" t="inlineStr">
        <is>
          <t>mask_phone: 형식 오류</t>
        </is>
      </c>
      <c r="G184" s="29" t="inlineStr">
        <is>
          <t>ValidationError</t>
        </is>
      </c>
      <c r="H184" s="28" t="inlineStr">
        <is>
          <t>Must</t>
        </is>
      </c>
      <c r="I184" s="30" t="n"/>
      <c r="J184" s="31">
        <f>IFERROR(INDEX('케이스별결과'!$B$4:$B$600,MATCH($A184,'케이스별결과'!$A$4:$A$600,0)),"미실행")</f>
        <v/>
      </c>
    </row>
    <row r="185">
      <c r="A185" s="27" t="inlineStr">
        <is>
          <t>UT-PRIV-09</t>
        </is>
      </c>
      <c r="B185" s="27" t="inlineStr">
        <is>
          <t>단위</t>
        </is>
      </c>
      <c r="C185" s="27" t="inlineStr">
        <is>
          <t>FR-02</t>
        </is>
      </c>
      <c r="D185" s="28" t="inlineStr">
        <is>
          <t>SC-03</t>
        </is>
      </c>
      <c r="E185" s="27" t="inlineStr">
        <is>
          <t>정상</t>
        </is>
      </c>
      <c r="F185" s="29" t="inlineStr">
        <is>
          <t>anonymize_birthdate: 대표 연령대</t>
        </is>
      </c>
      <c r="G185" s="29" t="inlineStr">
        <is>
          <t>1990-04-12 → '30대' (기준일 2026-10-02)</t>
        </is>
      </c>
      <c r="H185" s="28" t="inlineStr">
        <is>
          <t>Must</t>
        </is>
      </c>
      <c r="I185" s="30" t="n"/>
      <c r="J185" s="31">
        <f>IFERROR(INDEX('케이스별결과'!$B$4:$B$600,MATCH($A185,'케이스별결과'!$A$4:$A$600,0)),"미실행")</f>
        <v/>
      </c>
    </row>
    <row r="186">
      <c r="A186" s="27" t="inlineStr">
        <is>
          <t>UT-PRIV-10</t>
        </is>
      </c>
      <c r="B186" s="27" t="inlineStr">
        <is>
          <t>단위</t>
        </is>
      </c>
      <c r="C186" s="27" t="inlineStr">
        <is>
          <t>FR-02</t>
        </is>
      </c>
      <c r="D186" s="28" t="inlineStr">
        <is>
          <t>SC-03</t>
        </is>
      </c>
      <c r="E186" s="27" t="inlineStr">
        <is>
          <t>경계</t>
        </is>
      </c>
      <c r="F186" s="29" t="inlineStr">
        <is>
          <t>anonymize_birthdate: 생일 전/후 경계(만 나이)</t>
        </is>
      </c>
      <c r="G186" s="29" t="inlineStr">
        <is>
          <t>생일 당일부터 다음 연령대</t>
        </is>
      </c>
      <c r="H186" s="28" t="inlineStr">
        <is>
          <t>Must</t>
        </is>
      </c>
      <c r="I186" s="30" t="n"/>
      <c r="J186" s="31">
        <f>IFERROR(INDEX('케이스별결과'!$B$4:$B$600,MATCH($A186,'케이스별결과'!$A$4:$A$600,0)),"미실행")</f>
        <v/>
      </c>
    </row>
    <row r="187">
      <c r="A187" s="27" t="inlineStr">
        <is>
          <t>UT-PRIV-11</t>
        </is>
      </c>
      <c r="B187" s="27" t="inlineStr">
        <is>
          <t>단위</t>
        </is>
      </c>
      <c r="C187" s="27" t="inlineStr">
        <is>
          <t>FR-02</t>
        </is>
      </c>
      <c r="D187" s="28" t="inlineStr">
        <is>
          <t>SC-03</t>
        </is>
      </c>
      <c r="E187" s="27" t="inlineStr">
        <is>
          <t>경계</t>
        </is>
      </c>
      <c r="F187" s="29" t="inlineStr">
        <is>
          <t>anonymize_birthdate: 윤일(2/29) 생일</t>
        </is>
      </c>
      <c r="G187" s="29" t="inlineStr">
        <is>
          <t>평년 2/28 에는 아직 생일 전, 3/1 부터 생일 후</t>
        </is>
      </c>
      <c r="H187" s="28" t="inlineStr">
        <is>
          <t>Must</t>
        </is>
      </c>
      <c r="I187" s="30" t="n"/>
      <c r="J187" s="31">
        <f>IFERROR(INDEX('케이스별결과'!$B$4:$B$600,MATCH($A187,'케이스별결과'!$A$4:$A$600,0)),"미실행")</f>
        <v/>
      </c>
    </row>
    <row r="188">
      <c r="A188" s="27" t="inlineStr">
        <is>
          <t>UT-PRIV-12</t>
        </is>
      </c>
      <c r="B188" s="27" t="inlineStr">
        <is>
          <t>단위</t>
        </is>
      </c>
      <c r="C188" s="27" t="inlineStr">
        <is>
          <t>FR-02</t>
        </is>
      </c>
      <c r="D188" s="28" t="inlineStr">
        <is>
          <t>SC-03</t>
        </is>
      </c>
      <c r="E188" s="27" t="inlineStr">
        <is>
          <t>비정상</t>
        </is>
      </c>
      <c r="F188" s="29" t="inlineStr">
        <is>
          <t>anonymize_birthdate: 미래 날짜</t>
        </is>
      </c>
      <c r="G188" s="29" t="inlineStr">
        <is>
          <t>ValidationError</t>
        </is>
      </c>
      <c r="H188" s="28" t="inlineStr">
        <is>
          <t>Must</t>
        </is>
      </c>
      <c r="I188" s="30" t="n"/>
      <c r="J188" s="31">
        <f>IFERROR(INDEX('케이스별결과'!$B$4:$B$600,MATCH($A188,'케이스별결과'!$A$4:$A$600,0)),"미실행")</f>
        <v/>
      </c>
    </row>
    <row r="189">
      <c r="A189" s="27" t="inlineStr">
        <is>
          <t>UT-PRIV-13</t>
        </is>
      </c>
      <c r="B189" s="27" t="inlineStr">
        <is>
          <t>단위</t>
        </is>
      </c>
      <c r="C189" s="27" t="inlineStr">
        <is>
          <t>FR-02</t>
        </is>
      </c>
      <c r="D189" s="28" t="inlineStr">
        <is>
          <t>SC-03</t>
        </is>
      </c>
      <c r="E189" s="27" t="inlineStr">
        <is>
          <t>보안</t>
        </is>
      </c>
      <c r="F189" s="29" t="inlineStr">
        <is>
          <t>anonymize_birthdate: 결과에 원본 생년월일 미포함</t>
        </is>
      </c>
      <c r="G189" s="29" t="inlineStr">
        <is>
          <t>연·월·일 숫자열이 결과에 없음</t>
        </is>
      </c>
      <c r="H189" s="28" t="inlineStr">
        <is>
          <t>Must</t>
        </is>
      </c>
      <c r="I189" s="30" t="n"/>
      <c r="J189" s="31">
        <f>IFERROR(INDEX('케이스별결과'!$B$4:$B$600,MATCH($A189,'케이스별결과'!$A$4:$A$600,0)),"미실행")</f>
        <v/>
      </c>
    </row>
    <row r="190">
      <c r="A190" s="27" t="inlineStr">
        <is>
          <t>UT-PRIV-14</t>
        </is>
      </c>
      <c r="B190" s="27" t="inlineStr">
        <is>
          <t>단위</t>
        </is>
      </c>
      <c r="C190" s="27" t="inlineStr">
        <is>
          <t>FR-02</t>
        </is>
      </c>
      <c r="D190" s="28" t="inlineStr">
        <is>
          <t>SC-03</t>
        </is>
      </c>
      <c r="E190" s="27" t="inlineStr">
        <is>
          <t>정상</t>
        </is>
      </c>
      <c r="F190" s="29" t="inlineStr">
        <is>
          <t>process(pseudonym): 결과 객체</t>
        </is>
      </c>
      <c r="G190" s="29" t="inlineStr">
        <is>
          <t>level='pseudonym', pseudonym_id 형식 일치, 표시값 '홍*동 (30대)'</t>
        </is>
      </c>
      <c r="H190" s="28" t="inlineStr">
        <is>
          <t>Must</t>
        </is>
      </c>
      <c r="I190" s="30" t="n"/>
      <c r="J190" s="31">
        <f>IFERROR(INDEX('케이스별결과'!$B$4:$B$600,MATCH($A190,'케이스별결과'!$A$4:$A$600,0)),"미실행")</f>
        <v/>
      </c>
    </row>
    <row r="191">
      <c r="A191" s="27" t="inlineStr">
        <is>
          <t>UT-PRIV-15</t>
        </is>
      </c>
      <c r="B191" s="27" t="inlineStr">
        <is>
          <t>단위</t>
        </is>
      </c>
      <c r="C191" s="27" t="inlineStr">
        <is>
          <t>FR-02</t>
        </is>
      </c>
      <c r="D191" s="28" t="inlineStr">
        <is>
          <t>SC-03</t>
        </is>
      </c>
      <c r="E191" s="27" t="inlineStr">
        <is>
          <t>정상</t>
        </is>
      </c>
      <c r="F191" s="29" t="inlineStr">
        <is>
          <t>process(anonymous): 식별자 없음</t>
        </is>
      </c>
      <c r="G191" s="29" t="inlineStr">
        <is>
          <t>level='anonymous', pseudonym_id=None, 표시값 '익명'</t>
        </is>
      </c>
      <c r="H191" s="28" t="inlineStr">
        <is>
          <t>Must</t>
        </is>
      </c>
      <c r="I191" s="30" t="n"/>
      <c r="J191" s="31">
        <f>IFERROR(INDEX('케이스별결과'!$B$4:$B$600,MATCH($A191,'케이스별결과'!$A$4:$A$600,0)),"미실행")</f>
        <v/>
      </c>
    </row>
    <row r="192">
      <c r="A192" s="27" t="inlineStr">
        <is>
          <t>UT-PRIV-16</t>
        </is>
      </c>
      <c r="B192" s="27" t="inlineStr">
        <is>
          <t>단위</t>
        </is>
      </c>
      <c r="C192" s="27" t="inlineStr">
        <is>
          <t>FR-02</t>
        </is>
      </c>
      <c r="D192" s="28" t="inlineStr">
        <is>
          <t>SC-03</t>
        </is>
      </c>
      <c r="E192" s="27" t="inlineStr">
        <is>
          <t>비정상</t>
        </is>
      </c>
      <c r="F192" s="29" t="inlineStr">
        <is>
          <t>process: 허용되지 않는 mode</t>
        </is>
      </c>
      <c r="G192" s="29" t="inlineStr">
        <is>
          <t>ValidationError</t>
        </is>
      </c>
      <c r="H192" s="28" t="inlineStr">
        <is>
          <t>Must</t>
        </is>
      </c>
      <c r="I192" s="30" t="n"/>
      <c r="J192" s="31">
        <f>IFERROR(INDEX('케이스별결과'!$B$4:$B$600,MATCH($A192,'케이스별결과'!$A$4:$A$600,0)),"미실행")</f>
        <v/>
      </c>
    </row>
    <row r="193">
      <c r="A193" s="27" t="inlineStr">
        <is>
          <t>UT-PRIV-17</t>
        </is>
      </c>
      <c r="B193" s="27" t="inlineStr">
        <is>
          <t>단위</t>
        </is>
      </c>
      <c r="C193" s="27" t="inlineStr">
        <is>
          <t>FR-02</t>
        </is>
      </c>
      <c r="D193" s="28" t="inlineStr">
        <is>
          <t>SC-03</t>
        </is>
      </c>
      <c r="E193" s="27" t="inlineStr">
        <is>
          <t>비정상</t>
        </is>
      </c>
      <c r="F193" s="29" t="inlineStr">
        <is>
          <t>process(pseudonym): 잘못된 이름/미래 생년월일</t>
        </is>
      </c>
      <c r="G193" s="29" t="inlineStr">
        <is>
          <t>ValidationError</t>
        </is>
      </c>
      <c r="H193" s="28" t="inlineStr">
        <is>
          <t>Must</t>
        </is>
      </c>
      <c r="I193" s="30" t="n"/>
      <c r="J193" s="31">
        <f>IFERROR(INDEX('케이스별결과'!$B$4:$B$600,MATCH($A193,'케이스별결과'!$A$4:$A$600,0)),"미실행")</f>
        <v/>
      </c>
    </row>
    <row r="194">
      <c r="A194" s="27" t="inlineStr">
        <is>
          <t>UT-PRIV-18</t>
        </is>
      </c>
      <c r="B194" s="27" t="inlineStr">
        <is>
          <t>단위</t>
        </is>
      </c>
      <c r="C194" s="27" t="inlineStr">
        <is>
          <t>FR-02</t>
        </is>
      </c>
      <c r="D194" s="28" t="inlineStr">
        <is>
          <t>SC-03</t>
        </is>
      </c>
      <c r="E194" s="27" t="inlineStr">
        <is>
          <t>보안</t>
        </is>
      </c>
      <c r="F194" s="29" t="inlineStr">
        <is>
          <t>process: 어떤 결과 필드에도 원본 이름이 그대로 없음</t>
        </is>
      </c>
      <c r="G194" s="29" t="inlineStr">
        <is>
          <t>표시값/식별자에 '홍길동' 미포함</t>
        </is>
      </c>
      <c r="H194" s="28" t="inlineStr">
        <is>
          <t>Must</t>
        </is>
      </c>
      <c r="I194" s="30" t="n"/>
      <c r="J194" s="31">
        <f>IFERROR(INDEX('케이스별결과'!$B$4:$B$600,MATCH($A194,'케이스별결과'!$A$4:$A$600,0)),"미실행")</f>
        <v/>
      </c>
    </row>
    <row r="195">
      <c r="A195" s="27" t="inlineStr">
        <is>
          <t>UT-PRIV-19</t>
        </is>
      </c>
      <c r="B195" s="27" t="inlineStr">
        <is>
          <t>단위</t>
        </is>
      </c>
      <c r="C195" s="27" t="inlineStr">
        <is>
          <t>FR-02</t>
        </is>
      </c>
      <c r="D195" s="28" t="inlineStr">
        <is>
          <t>SC-03</t>
        </is>
      </c>
      <c r="E195" s="27" t="inlineStr">
        <is>
          <t>정상</t>
        </is>
      </c>
      <c r="F195" s="29" t="inlineStr">
        <is>
          <t>process_and_store: personal_info 저장</t>
        </is>
      </c>
      <c r="G195" s="29" t="inlineStr">
        <is>
          <t>level·pseudonym_id·masked_display_value 가 처리 결과와 일치, user_id 당 1건</t>
        </is>
      </c>
      <c r="H195" s="28" t="inlineStr">
        <is>
          <t>Must</t>
        </is>
      </c>
      <c r="I195" s="30" t="n"/>
      <c r="J195" s="31">
        <f>IFERROR(INDEX('케이스별결과'!$B$4:$B$600,MATCH($A195,'케이스별결과'!$A$4:$A$600,0)),"미실행")</f>
        <v/>
      </c>
    </row>
    <row r="196">
      <c r="A196" s="27" t="inlineStr">
        <is>
          <t>UT-PRIV-20</t>
        </is>
      </c>
      <c r="B196" s="27" t="inlineStr">
        <is>
          <t>단위</t>
        </is>
      </c>
      <c r="C196" s="27" t="inlineStr">
        <is>
          <t>FR-02</t>
        </is>
      </c>
      <c r="D196" s="28" t="inlineStr">
        <is>
          <t>SC-03</t>
        </is>
      </c>
      <c r="E196" s="27" t="inlineStr">
        <is>
          <t>정상</t>
        </is>
      </c>
      <c r="F196" s="29" t="inlineStr">
        <is>
          <t>process_and_store: 재처리는 갱신(중복 행 없음), 기존 pseudonym_id 유지</t>
        </is>
      </c>
      <c r="G196" s="29" t="inlineStr">
        <is>
          <t>행 1건, pseudonym_id 동일</t>
        </is>
      </c>
      <c r="H196" s="28" t="inlineStr">
        <is>
          <t>Must</t>
        </is>
      </c>
      <c r="I196" s="30" t="n"/>
      <c r="J196" s="31">
        <f>IFERROR(INDEX('케이스별결과'!$B$4:$B$600,MATCH($A196,'케이스별결과'!$A$4:$A$600,0)),"미실행")</f>
        <v/>
      </c>
    </row>
    <row r="197">
      <c r="A197" s="27" t="inlineStr">
        <is>
          <t>UT-PRIV-21</t>
        </is>
      </c>
      <c r="B197" s="27" t="inlineStr">
        <is>
          <t>단위</t>
        </is>
      </c>
      <c r="C197" s="27" t="inlineStr">
        <is>
          <t>FR-02</t>
        </is>
      </c>
      <c r="D197" s="28" t="inlineStr">
        <is>
          <t>SC-03</t>
        </is>
      </c>
      <c r="E197" s="27" t="inlineStr">
        <is>
          <t>정상</t>
        </is>
      </c>
      <c r="F197" s="29" t="inlineStr">
        <is>
          <t>process_and_store: 가명→익명 전환 시 pseudonym_id 제거</t>
        </is>
      </c>
      <c r="G197" s="29" t="inlineStr">
        <is>
          <t>level='anonymous', pseudonym_id=None</t>
        </is>
      </c>
      <c r="H197" s="28" t="inlineStr">
        <is>
          <t>Must</t>
        </is>
      </c>
      <c r="I197" s="30" t="n"/>
      <c r="J197" s="31">
        <f>IFERROR(INDEX('케이스별결과'!$B$4:$B$600,MATCH($A197,'케이스별결과'!$A$4:$A$600,0)),"미실행")</f>
        <v/>
      </c>
    </row>
    <row r="198">
      <c r="A198" s="27" t="inlineStr">
        <is>
          <t>UT-PRIV-22</t>
        </is>
      </c>
      <c r="B198" s="27" t="inlineStr">
        <is>
          <t>단위</t>
        </is>
      </c>
      <c r="C198" s="27" t="inlineStr">
        <is>
          <t>FR-02</t>
        </is>
      </c>
      <c r="D198" s="28" t="inlineStr">
        <is>
          <t>SC-03</t>
        </is>
      </c>
      <c r="E198" s="27" t="inlineStr">
        <is>
          <t>비정상</t>
        </is>
      </c>
      <c r="F198" s="29" t="inlineStr">
        <is>
          <t>process_and_store: 없는 사용자</t>
        </is>
      </c>
      <c r="G198" s="29" t="inlineStr">
        <is>
          <t>NotFoundError, 행 미생성</t>
        </is>
      </c>
      <c r="H198" s="28" t="inlineStr">
        <is>
          <t>Must</t>
        </is>
      </c>
      <c r="I198" s="30" t="n"/>
      <c r="J198" s="31">
        <f>IFERROR(INDEX('케이스별결과'!$B$4:$B$600,MATCH($A198,'케이스별결과'!$A$4:$A$600,0)),"미실행")</f>
        <v/>
      </c>
    </row>
    <row r="199">
      <c r="A199" s="27" t="inlineStr">
        <is>
          <t>UT-PRIV-23</t>
        </is>
      </c>
      <c r="B199" s="27" t="inlineStr">
        <is>
          <t>단위</t>
        </is>
      </c>
      <c r="C199" s="27" t="inlineStr">
        <is>
          <t>FR-02</t>
        </is>
      </c>
      <c r="D199" s="28" t="inlineStr">
        <is>
          <t>SC-03</t>
        </is>
      </c>
      <c r="E199" s="27" t="inlineStr">
        <is>
          <t>보안</t>
        </is>
      </c>
      <c r="F199" s="29" t="inlineStr">
        <is>
          <t>process_and_store: 원본 이름·생년월일이 DB 어느 테이블에도 저장되지 않음</t>
        </is>
      </c>
      <c r="G199" s="29" t="inlineStr">
        <is>
          <t>전 테이블 덤프에 '홍길동'/'1990-04-12' 없음</t>
        </is>
      </c>
      <c r="H199" s="28" t="inlineStr">
        <is>
          <t>Must</t>
        </is>
      </c>
      <c r="I199" s="30" t="n"/>
      <c r="J199" s="31">
        <f>IFERROR(INDEX('케이스별결과'!$B$4:$B$600,MATCH($A199,'케이스별결과'!$A$4:$A$600,0)),"미실행")</f>
        <v/>
      </c>
    </row>
    <row r="200">
      <c r="A200" s="27" t="inlineStr">
        <is>
          <t>UT-PRIV-24</t>
        </is>
      </c>
      <c r="B200" s="27" t="inlineStr">
        <is>
          <t>단위</t>
        </is>
      </c>
      <c r="C200" s="27" t="inlineStr">
        <is>
          <t>FR-02</t>
        </is>
      </c>
      <c r="D200" s="28" t="inlineStr">
        <is>
          <t>SC-03</t>
        </is>
      </c>
      <c r="E200" s="27" t="inlineStr">
        <is>
          <t>정상</t>
        </is>
      </c>
      <c r="F200" s="29" t="inlineStr">
        <is>
          <t>get_privacy_info: 저장 후 조회 / 미처리 사용자</t>
        </is>
      </c>
      <c r="G200" s="29" t="inlineStr">
        <is>
          <t>저장된 행 반환, 없으면 NotFoundError</t>
        </is>
      </c>
      <c r="H200" s="28" t="inlineStr">
        <is>
          <t>Must</t>
        </is>
      </c>
      <c r="I200" s="30" t="n"/>
      <c r="J200" s="31">
        <f>IFERROR(INDEX('케이스별결과'!$B$4:$B$600,MATCH($A200,'케이스별결과'!$A$4:$A$600,0)),"미실행")</f>
        <v/>
      </c>
    </row>
    <row r="201">
      <c r="A201" s="27" t="inlineStr">
        <is>
          <t>UT-SEED-01</t>
        </is>
      </c>
      <c r="B201" s="27" t="inlineStr">
        <is>
          <t>단위</t>
        </is>
      </c>
      <c r="C201" s="27" t="inlineStr">
        <is>
          <t>FR-01</t>
        </is>
      </c>
      <c r="D201" s="28" t="inlineStr">
        <is>
          <t>공통</t>
        </is>
      </c>
      <c r="E201" s="27" t="inlineStr">
        <is>
          <t>정상</t>
        </is>
      </c>
      <c r="F201" s="29" t="inlineStr">
        <is>
          <t>seed: 사용자 3종 생성</t>
        </is>
      </c>
      <c r="G201" s="29" t="inlineStr">
        <is>
          <t>individual/company/institution 각 1명, 기업·기관은 org_code 보유</t>
        </is>
      </c>
      <c r="H201" s="28" t="inlineStr">
        <is>
          <t>Must</t>
        </is>
      </c>
      <c r="I201" s="30" t="n"/>
      <c r="J201" s="31">
        <f>IFERROR(INDEX('케이스별결과'!$B$4:$B$600,MATCH($A201,'케이스별결과'!$A$4:$A$600,0)),"미실행")</f>
        <v/>
      </c>
    </row>
    <row r="202">
      <c r="A202" s="27" t="inlineStr">
        <is>
          <t>UT-SEED-02</t>
        </is>
      </c>
      <c r="B202" s="27" t="inlineStr">
        <is>
          <t>단위</t>
        </is>
      </c>
      <c r="C202" s="27" t="inlineStr">
        <is>
          <t>FR-01</t>
        </is>
      </c>
      <c r="D202" s="28" t="inlineStr">
        <is>
          <t>공통</t>
        </is>
      </c>
      <c r="E202" s="27" t="inlineStr">
        <is>
          <t>보안</t>
        </is>
      </c>
      <c r="F202" s="29" t="inlineStr">
        <is>
          <t>seed: 데모 계정 비밀번호는 해시로 저장되고 로그인 가능</t>
        </is>
      </c>
      <c r="G202" s="29" t="inlineStr">
        <is>
          <t>평문 미저장, login('demo_individual','Demo1234') 성공</t>
        </is>
      </c>
      <c r="H202" s="28" t="inlineStr">
        <is>
          <t>Must</t>
        </is>
      </c>
      <c r="I202" s="30" t="n"/>
      <c r="J202" s="31">
        <f>IFERROR(INDEX('케이스별결과'!$B$4:$B$600,MATCH($A202,'케이스별결과'!$A$4:$A$600,0)),"미실행")</f>
        <v/>
      </c>
    </row>
    <row r="203">
      <c r="A203" s="27" t="inlineStr">
        <is>
          <t>UT-SEED-03</t>
        </is>
      </c>
      <c r="B203" s="27" t="inlineStr">
        <is>
          <t>단위</t>
        </is>
      </c>
      <c r="C203" s="27" t="inlineStr">
        <is>
          <t>FR-03</t>
        </is>
      </c>
      <c r="D203" s="28" t="inlineStr">
        <is>
          <t>공통</t>
        </is>
      </c>
      <c r="E203" s="27" t="inlineStr">
        <is>
          <t>정상</t>
        </is>
      </c>
      <c r="F203" s="29" t="inlineStr">
        <is>
          <t>seed: 신청 4건 이상, 4개 상태 모두 포함</t>
        </is>
      </c>
      <c r="G203" s="29" t="inlineStr">
        <is>
          <t>submitted/reviewing/approved/rejected 각 1건 이상</t>
        </is>
      </c>
      <c r="H203" s="28" t="inlineStr">
        <is>
          <t>Must</t>
        </is>
      </c>
      <c r="I203" s="30" t="n"/>
      <c r="J203" s="31">
        <f>IFERROR(INDEX('케이스별결과'!$B$4:$B$600,MATCH($A203,'케이스별결과'!$A$4:$A$600,0)),"미실행")</f>
        <v/>
      </c>
    </row>
    <row r="204">
      <c r="A204" s="27" t="inlineStr">
        <is>
          <t>UT-SEED-04</t>
        </is>
      </c>
      <c r="B204" s="27" t="inlineStr">
        <is>
          <t>단위</t>
        </is>
      </c>
      <c r="C204" s="27" t="inlineStr">
        <is>
          <t>FR-04</t>
        </is>
      </c>
      <c r="D204" s="28" t="inlineStr">
        <is>
          <t>공통</t>
        </is>
      </c>
      <c r="E204" s="27" t="inlineStr">
        <is>
          <t>정상</t>
        </is>
      </c>
      <c r="F204" s="29" t="inlineStr">
        <is>
          <t>seed: 검증서 3건 중 1건은 위변조 의심</t>
        </is>
      </c>
      <c r="G204" s="29" t="inlineStr">
        <is>
          <t>certificates=3, tamper_status='suspected' 정확히 1건</t>
        </is>
      </c>
      <c r="H204" s="28" t="inlineStr">
        <is>
          <t>Should</t>
        </is>
      </c>
      <c r="I204" s="30" t="n"/>
      <c r="J204" s="31">
        <f>IFERROR(INDEX('케이스별결과'!$B$4:$B$600,MATCH($A204,'케이스별결과'!$A$4:$A$600,0)),"미실행")</f>
        <v/>
      </c>
    </row>
    <row r="205">
      <c r="A205" s="27" t="inlineStr">
        <is>
          <t>UT-SEED-05</t>
        </is>
      </c>
      <c r="B205" s="27" t="inlineStr">
        <is>
          <t>단위</t>
        </is>
      </c>
      <c r="C205" s="27" t="inlineStr">
        <is>
          <t>FR-02</t>
        </is>
      </c>
      <c r="D205" s="28" t="inlineStr">
        <is>
          <t>공통</t>
        </is>
      </c>
      <c r="E205" s="27" t="inlineStr">
        <is>
          <t>보안</t>
        </is>
      </c>
      <c r="F205" s="29" t="inlineStr">
        <is>
          <t>seed: 개인정보는 가명/익명 처리값만 적재</t>
        </is>
      </c>
      <c r="G205" s="29" t="inlineStr">
        <is>
          <t>personal_info 가 존재하고 원본 이름 형태(마스킹 없는 값) 없음</t>
        </is>
      </c>
      <c r="H205" s="28" t="inlineStr">
        <is>
          <t>Must</t>
        </is>
      </c>
      <c r="I205" s="30" t="n"/>
      <c r="J205" s="31">
        <f>IFERROR(INDEX('케이스별결과'!$B$4:$B$600,MATCH($A205,'케이스별결과'!$A$4:$A$600,0)),"미실행")</f>
        <v/>
      </c>
    </row>
    <row r="206">
      <c r="A206" s="27" t="inlineStr">
        <is>
          <t>UT-SEED-06</t>
        </is>
      </c>
      <c r="B206" s="27" t="inlineStr">
        <is>
          <t>단위</t>
        </is>
      </c>
      <c r="C206" s="27" t="inlineStr">
        <is>
          <t>FR-01</t>
        </is>
      </c>
      <c r="D206" s="28" t="inlineStr">
        <is>
          <t>공통</t>
        </is>
      </c>
      <c r="E206" s="27" t="inlineStr">
        <is>
          <t>경계</t>
        </is>
      </c>
      <c r="F206" s="29" t="inlineStr">
        <is>
          <t>seed: 멱등 — 두 번 실행해도 건수 불변</t>
        </is>
      </c>
      <c r="G206" s="29" t="inlineStr">
        <is>
          <t>2회 실행 후 건수 동일, 반환 dict 의 건수와 실제 건수 일치</t>
        </is>
      </c>
      <c r="H206" s="28" t="inlineStr">
        <is>
          <t>Must</t>
        </is>
      </c>
      <c r="I206" s="30" t="n"/>
      <c r="J206" s="31">
        <f>IFERROR(INDEX('케이스별결과'!$B$4:$B$600,MATCH($A206,'케이스별결과'!$A$4:$A$600,0)),"미실행")</f>
        <v/>
      </c>
    </row>
  </sheetData>
  <autoFilter ref="A4:J206"/>
  <conditionalFormatting sqref="J5:J206">
    <cfRule type="cellIs" priority="1" operator="equal" dxfId="0">
      <formula>"PASS"</formula>
    </cfRule>
    <cfRule type="cellIs" priority="2" operator="equal" dxfId="1">
      <formula>"RED"</formula>
    </cfRule>
    <cfRule type="cellIs" priority="3" operator="equal" dxfId="2">
      <formula>"FAIL"</formula>
    </cfRule>
    <cfRule type="cellIs" priority="4" operator="equal" dxfId="3">
      <formula>"SKIP"</formula>
    </cfRule>
    <cfRule type="cellIs" priority="5" operator="equal" dxfId="4">
      <formula>"미실행"</formula>
    </cfRule>
  </conditionalFormatting>
  <dataValidations count="2">
    <dataValidation sqref="D5:D600" showDropDown="0" showInputMessage="0" showErrorMessage="0" allowBlank="1" type="list">
      <formula1>=대시보드!$A$24:$A$31</formula1>
    </dataValidation>
    <dataValidation sqref="H5:H600" showDropDown="0" showInputMessage="0" showErrorMessage="0" allowBlank="1" type="list">
      <formula1>"Must,Should,Could"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0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7" customWidth="1" min="4" max="4"/>
    <col width="7" customWidth="1" min="5" max="5"/>
    <col width="7" customWidth="1" min="6" max="6"/>
    <col width="8" customWidth="1" min="7" max="7"/>
    <col width="80" customWidth="1" min="8" max="8"/>
  </cols>
  <sheetData>
    <row r="1">
      <c r="A1" s="1" t="inlineStr">
        <is>
          <t>케이스별 최신 결과 (자동 생성 — 수정하지 마세요)</t>
        </is>
      </c>
    </row>
    <row r="2">
      <c r="A2" s="2" t="inlineStr">
        <is>
          <t>pytest JUnit XML 을 파싱한 값입니다. 결과(B)는 건수로부터 수식으로 판정합니다: 실패&gt;0 → FAIL, Red&gt;0 → RED, 통과&gt;0 → PASS</t>
        </is>
      </c>
    </row>
    <row r="3">
      <c r="A3" s="20" t="inlineStr">
        <is>
          <t>케이스 ID</t>
        </is>
      </c>
      <c r="B3" s="20" t="inlineStr">
        <is>
          <t>결과</t>
        </is>
      </c>
      <c r="C3" s="20" t="inlineStr">
        <is>
          <t>실행 건수</t>
        </is>
      </c>
      <c r="D3" s="20" t="inlineStr">
        <is>
          <t>통과</t>
        </is>
      </c>
      <c r="E3" s="20" t="inlineStr">
        <is>
          <t>실패</t>
        </is>
      </c>
      <c r="F3" s="20" t="inlineStr">
        <is>
          <t>Red</t>
        </is>
      </c>
      <c r="G3" s="20" t="inlineStr">
        <is>
          <t>건너뜀</t>
        </is>
      </c>
      <c r="H3" s="20" t="inlineStr">
        <is>
          <t>실패 사유(첫 줄)</t>
        </is>
      </c>
    </row>
    <row r="4">
      <c r="A4" s="22" t="inlineStr">
        <is>
          <t>ST-01</t>
        </is>
      </c>
      <c r="B4" s="32">
        <f>IF(E4&gt;0,"FAIL",IF(F4&gt;0,"RED",IF(D4&gt;0,"PASS","SKIP")))</f>
        <v/>
      </c>
      <c r="C4" s="23">
        <f>SUM(D4:G4)</f>
        <v/>
      </c>
      <c r="D4" s="23" t="n">
        <v>1</v>
      </c>
      <c r="E4" s="23" t="n">
        <v>0</v>
      </c>
      <c r="F4" s="23" t="n">
        <v>0</v>
      </c>
      <c r="G4" s="23" t="n">
        <v>0</v>
      </c>
      <c r="H4" s="22" t="n"/>
    </row>
    <row r="5">
      <c r="A5" s="22" t="inlineStr">
        <is>
          <t>ST-01-N1</t>
        </is>
      </c>
      <c r="B5" s="32">
        <f>IF(E5&gt;0,"FAIL",IF(F5&gt;0,"RED",IF(D5&gt;0,"PASS","SKIP")))</f>
        <v/>
      </c>
      <c r="C5" s="23">
        <f>SUM(D5:G5)</f>
        <v/>
      </c>
      <c r="D5" s="23" t="n">
        <v>1</v>
      </c>
      <c r="E5" s="23" t="n">
        <v>0</v>
      </c>
      <c r="F5" s="23" t="n">
        <v>0</v>
      </c>
      <c r="G5" s="23" t="n">
        <v>0</v>
      </c>
      <c r="H5" s="22" t="n"/>
    </row>
    <row r="6">
      <c r="A6" s="22" t="inlineStr">
        <is>
          <t>ST-01-N2</t>
        </is>
      </c>
      <c r="B6" s="32">
        <f>IF(E6&gt;0,"FAIL",IF(F6&gt;0,"RED",IF(D6&gt;0,"PASS","SKIP")))</f>
        <v/>
      </c>
      <c r="C6" s="23">
        <f>SUM(D6:G6)</f>
        <v/>
      </c>
      <c r="D6" s="23" t="n">
        <v>1</v>
      </c>
      <c r="E6" s="23" t="n">
        <v>0</v>
      </c>
      <c r="F6" s="23" t="n">
        <v>0</v>
      </c>
      <c r="G6" s="23" t="n">
        <v>0</v>
      </c>
      <c r="H6" s="22" t="n"/>
    </row>
    <row r="7">
      <c r="A7" s="22" t="inlineStr">
        <is>
          <t>ST-02</t>
        </is>
      </c>
      <c r="B7" s="32">
        <f>IF(E7&gt;0,"FAIL",IF(F7&gt;0,"RED",IF(D7&gt;0,"PASS","SKIP")))</f>
        <v/>
      </c>
      <c r="C7" s="23">
        <f>SUM(D7:G7)</f>
        <v/>
      </c>
      <c r="D7" s="23" t="n">
        <v>1</v>
      </c>
      <c r="E7" s="23" t="n">
        <v>0</v>
      </c>
      <c r="F7" s="23" t="n">
        <v>0</v>
      </c>
      <c r="G7" s="23" t="n">
        <v>0</v>
      </c>
      <c r="H7" s="22" t="n"/>
    </row>
    <row r="8">
      <c r="A8" s="22" t="inlineStr">
        <is>
          <t>ST-02-N1</t>
        </is>
      </c>
      <c r="B8" s="32">
        <f>IF(E8&gt;0,"FAIL",IF(F8&gt;0,"RED",IF(D8&gt;0,"PASS","SKIP")))</f>
        <v/>
      </c>
      <c r="C8" s="23">
        <f>SUM(D8:G8)</f>
        <v/>
      </c>
      <c r="D8" s="23" t="n">
        <v>1</v>
      </c>
      <c r="E8" s="23" t="n">
        <v>0</v>
      </c>
      <c r="F8" s="23" t="n">
        <v>0</v>
      </c>
      <c r="G8" s="23" t="n">
        <v>0</v>
      </c>
      <c r="H8" s="22" t="n"/>
    </row>
    <row r="9">
      <c r="A9" s="22" t="inlineStr">
        <is>
          <t>ST-02-N2</t>
        </is>
      </c>
      <c r="B9" s="32">
        <f>IF(E9&gt;0,"FAIL",IF(F9&gt;0,"RED",IF(D9&gt;0,"PASS","SKIP")))</f>
        <v/>
      </c>
      <c r="C9" s="23">
        <f>SUM(D9:G9)</f>
        <v/>
      </c>
      <c r="D9" s="23" t="n">
        <v>1</v>
      </c>
      <c r="E9" s="23" t="n">
        <v>0</v>
      </c>
      <c r="F9" s="23" t="n">
        <v>0</v>
      </c>
      <c r="G9" s="23" t="n">
        <v>0</v>
      </c>
      <c r="H9" s="22" t="n"/>
    </row>
    <row r="10">
      <c r="A10" s="22" t="inlineStr">
        <is>
          <t>ST-02-N3</t>
        </is>
      </c>
      <c r="B10" s="32">
        <f>IF(E10&gt;0,"FAIL",IF(F10&gt;0,"RED",IF(D10&gt;0,"PASS","SKIP")))</f>
        <v/>
      </c>
      <c r="C10" s="23">
        <f>SUM(D10:G10)</f>
        <v/>
      </c>
      <c r="D10" s="23" t="n">
        <v>1</v>
      </c>
      <c r="E10" s="23" t="n">
        <v>0</v>
      </c>
      <c r="F10" s="23" t="n">
        <v>0</v>
      </c>
      <c r="G10" s="23" t="n">
        <v>0</v>
      </c>
      <c r="H10" s="22" t="n"/>
    </row>
    <row r="11">
      <c r="A11" s="22" t="inlineStr">
        <is>
          <t>ST-04</t>
        </is>
      </c>
      <c r="B11" s="32">
        <f>IF(E11&gt;0,"FAIL",IF(F11&gt;0,"RED",IF(D11&gt;0,"PASS","SKIP")))</f>
        <v/>
      </c>
      <c r="C11" s="23">
        <f>SUM(D11:G11)</f>
        <v/>
      </c>
      <c r="D11" s="23" t="n">
        <v>1</v>
      </c>
      <c r="E11" s="23" t="n">
        <v>0</v>
      </c>
      <c r="F11" s="23" t="n">
        <v>0</v>
      </c>
      <c r="G11" s="23" t="n">
        <v>0</v>
      </c>
      <c r="H11" s="22" t="n"/>
    </row>
    <row r="12">
      <c r="A12" s="22" t="inlineStr">
        <is>
          <t>ST-04-N1</t>
        </is>
      </c>
      <c r="B12" s="32">
        <f>IF(E12&gt;0,"FAIL",IF(F12&gt;0,"RED",IF(D12&gt;0,"PASS","SKIP")))</f>
        <v/>
      </c>
      <c r="C12" s="23">
        <f>SUM(D12:G12)</f>
        <v/>
      </c>
      <c r="D12" s="23" t="n">
        <v>1</v>
      </c>
      <c r="E12" s="23" t="n">
        <v>0</v>
      </c>
      <c r="F12" s="23" t="n">
        <v>0</v>
      </c>
      <c r="G12" s="23" t="n">
        <v>0</v>
      </c>
      <c r="H12" s="22" t="n"/>
    </row>
    <row r="13">
      <c r="A13" s="22" t="inlineStr">
        <is>
          <t>ST-04-N2</t>
        </is>
      </c>
      <c r="B13" s="32">
        <f>IF(E13&gt;0,"FAIL",IF(F13&gt;0,"RED",IF(D13&gt;0,"PASS","SKIP")))</f>
        <v/>
      </c>
      <c r="C13" s="23">
        <f>SUM(D13:G13)</f>
        <v/>
      </c>
      <c r="D13" s="23" t="n">
        <v>1</v>
      </c>
      <c r="E13" s="23" t="n">
        <v>0</v>
      </c>
      <c r="F13" s="23" t="n">
        <v>0</v>
      </c>
      <c r="G13" s="23" t="n">
        <v>0</v>
      </c>
      <c r="H13" s="22" t="n"/>
    </row>
    <row r="14">
      <c r="A14" s="22" t="inlineStr">
        <is>
          <t>ST-04-N3</t>
        </is>
      </c>
      <c r="B14" s="32">
        <f>IF(E14&gt;0,"FAIL",IF(F14&gt;0,"RED",IF(D14&gt;0,"PASS","SKIP")))</f>
        <v/>
      </c>
      <c r="C14" s="23">
        <f>SUM(D14:G14)</f>
        <v/>
      </c>
      <c r="D14" s="23" t="n">
        <v>1</v>
      </c>
      <c r="E14" s="23" t="n">
        <v>0</v>
      </c>
      <c r="F14" s="23" t="n">
        <v>0</v>
      </c>
      <c r="G14" s="23" t="n">
        <v>0</v>
      </c>
      <c r="H14" s="22" t="n"/>
    </row>
    <row r="15">
      <c r="A15" s="22" t="inlineStr">
        <is>
          <t>ST-04-N4</t>
        </is>
      </c>
      <c r="B15" s="32">
        <f>IF(E15&gt;0,"FAIL",IF(F15&gt;0,"RED",IF(D15&gt;0,"PASS","SKIP")))</f>
        <v/>
      </c>
      <c r="C15" s="23">
        <f>SUM(D15:G15)</f>
        <v/>
      </c>
      <c r="D15" s="23" t="n">
        <v>1</v>
      </c>
      <c r="E15" s="23" t="n">
        <v>0</v>
      </c>
      <c r="F15" s="23" t="n">
        <v>0</v>
      </c>
      <c r="G15" s="23" t="n">
        <v>0</v>
      </c>
      <c r="H15" s="22" t="n"/>
    </row>
    <row r="16">
      <c r="A16" s="22" t="inlineStr">
        <is>
          <t>ST-05</t>
        </is>
      </c>
      <c r="B16" s="32">
        <f>IF(E16&gt;0,"FAIL",IF(F16&gt;0,"RED",IF(D16&gt;0,"PASS","SKIP")))</f>
        <v/>
      </c>
      <c r="C16" s="23">
        <f>SUM(D16:G16)</f>
        <v/>
      </c>
      <c r="D16" s="23" t="n">
        <v>1</v>
      </c>
      <c r="E16" s="23" t="n">
        <v>0</v>
      </c>
      <c r="F16" s="23" t="n">
        <v>0</v>
      </c>
      <c r="G16" s="23" t="n">
        <v>0</v>
      </c>
      <c r="H16" s="22" t="n"/>
    </row>
    <row r="17">
      <c r="A17" s="22" t="inlineStr">
        <is>
          <t>ST-05-N1</t>
        </is>
      </c>
      <c r="B17" s="32">
        <f>IF(E17&gt;0,"FAIL",IF(F17&gt;0,"RED",IF(D17&gt;0,"PASS","SKIP")))</f>
        <v/>
      </c>
      <c r="C17" s="23">
        <f>SUM(D17:G17)</f>
        <v/>
      </c>
      <c r="D17" s="23" t="n">
        <v>1</v>
      </c>
      <c r="E17" s="23" t="n">
        <v>0</v>
      </c>
      <c r="F17" s="23" t="n">
        <v>0</v>
      </c>
      <c r="G17" s="23" t="n">
        <v>0</v>
      </c>
      <c r="H17" s="22" t="n"/>
    </row>
    <row r="18">
      <c r="A18" s="22" t="inlineStr">
        <is>
          <t>ST-05-N2</t>
        </is>
      </c>
      <c r="B18" s="32">
        <f>IF(E18&gt;0,"FAIL",IF(F18&gt;0,"RED",IF(D18&gt;0,"PASS","SKIP")))</f>
        <v/>
      </c>
      <c r="C18" s="23">
        <f>SUM(D18:G18)</f>
        <v/>
      </c>
      <c r="D18" s="23" t="n">
        <v>1</v>
      </c>
      <c r="E18" s="23" t="n">
        <v>0</v>
      </c>
      <c r="F18" s="23" t="n">
        <v>0</v>
      </c>
      <c r="G18" s="23" t="n">
        <v>0</v>
      </c>
      <c r="H18" s="22" t="n"/>
    </row>
    <row r="19">
      <c r="A19" s="22" t="inlineStr">
        <is>
          <t>ST-05-N3</t>
        </is>
      </c>
      <c r="B19" s="32">
        <f>IF(E19&gt;0,"FAIL",IF(F19&gt;0,"RED",IF(D19&gt;0,"PASS","SKIP")))</f>
        <v/>
      </c>
      <c r="C19" s="23">
        <f>SUM(D19:G19)</f>
        <v/>
      </c>
      <c r="D19" s="23" t="n">
        <v>1</v>
      </c>
      <c r="E19" s="23" t="n">
        <v>0</v>
      </c>
      <c r="F19" s="23" t="n">
        <v>0</v>
      </c>
      <c r="G19" s="23" t="n">
        <v>0</v>
      </c>
      <c r="H19" s="22" t="n"/>
    </row>
    <row r="20">
      <c r="A20" s="22" t="inlineStr">
        <is>
          <t>ST-05-N4</t>
        </is>
      </c>
      <c r="B20" s="32">
        <f>IF(E20&gt;0,"FAIL",IF(F20&gt;0,"RED",IF(D20&gt;0,"PASS","SKIP")))</f>
        <v/>
      </c>
      <c r="C20" s="23">
        <f>SUM(D20:G20)</f>
        <v/>
      </c>
      <c r="D20" s="23" t="n">
        <v>1</v>
      </c>
      <c r="E20" s="23" t="n">
        <v>0</v>
      </c>
      <c r="F20" s="23" t="n">
        <v>0</v>
      </c>
      <c r="G20" s="23" t="n">
        <v>0</v>
      </c>
      <c r="H20" s="22" t="n"/>
    </row>
    <row r="21">
      <c r="A21" s="22" t="inlineStr">
        <is>
          <t>ST-05-N5</t>
        </is>
      </c>
      <c r="B21" s="32">
        <f>IF(E21&gt;0,"FAIL",IF(F21&gt;0,"RED",IF(D21&gt;0,"PASS","SKIP")))</f>
        <v/>
      </c>
      <c r="C21" s="23">
        <f>SUM(D21:G21)</f>
        <v/>
      </c>
      <c r="D21" s="23" t="n">
        <v>1</v>
      </c>
      <c r="E21" s="23" t="n">
        <v>0</v>
      </c>
      <c r="F21" s="23" t="n">
        <v>0</v>
      </c>
      <c r="G21" s="23" t="n">
        <v>0</v>
      </c>
      <c r="H21" s="22" t="n"/>
    </row>
    <row r="22">
      <c r="A22" s="22" t="inlineStr">
        <is>
          <t>IT-01</t>
        </is>
      </c>
      <c r="B22" s="32">
        <f>IF(E22&gt;0,"FAIL",IF(F22&gt;0,"RED",IF(D22&gt;0,"PASS","SKIP")))</f>
        <v/>
      </c>
      <c r="C22" s="23">
        <f>SUM(D22:G22)</f>
        <v/>
      </c>
      <c r="D22" s="23" t="n">
        <v>1</v>
      </c>
      <c r="E22" s="23" t="n">
        <v>0</v>
      </c>
      <c r="F22" s="23" t="n">
        <v>0</v>
      </c>
      <c r="G22" s="23" t="n">
        <v>0</v>
      </c>
      <c r="H22" s="22" t="n"/>
    </row>
    <row r="23">
      <c r="A23" s="22" t="inlineStr">
        <is>
          <t>IT-02</t>
        </is>
      </c>
      <c r="B23" s="32">
        <f>IF(E23&gt;0,"FAIL",IF(F23&gt;0,"RED",IF(D23&gt;0,"PASS","SKIP")))</f>
        <v/>
      </c>
      <c r="C23" s="23">
        <f>SUM(D23:G23)</f>
        <v/>
      </c>
      <c r="D23" s="23" t="n">
        <v>1</v>
      </c>
      <c r="E23" s="23" t="n">
        <v>0</v>
      </c>
      <c r="F23" s="23" t="n">
        <v>0</v>
      </c>
      <c r="G23" s="23" t="n">
        <v>0</v>
      </c>
      <c r="H23" s="22" t="n"/>
    </row>
    <row r="24">
      <c r="A24" s="22" t="inlineStr">
        <is>
          <t>IT-03</t>
        </is>
      </c>
      <c r="B24" s="32">
        <f>IF(E24&gt;0,"FAIL",IF(F24&gt;0,"RED",IF(D24&gt;0,"PASS","SKIP")))</f>
        <v/>
      </c>
      <c r="C24" s="23">
        <f>SUM(D24:G24)</f>
        <v/>
      </c>
      <c r="D24" s="23" t="n">
        <v>7</v>
      </c>
      <c r="E24" s="23" t="n">
        <v>0</v>
      </c>
      <c r="F24" s="23" t="n">
        <v>0</v>
      </c>
      <c r="G24" s="23" t="n">
        <v>0</v>
      </c>
      <c r="H24" s="22" t="n"/>
    </row>
    <row r="25">
      <c r="A25" s="22" t="inlineStr">
        <is>
          <t>IT-04</t>
        </is>
      </c>
      <c r="B25" s="32">
        <f>IF(E25&gt;0,"FAIL",IF(F25&gt;0,"RED",IF(D25&gt;0,"PASS","SKIP")))</f>
        <v/>
      </c>
      <c r="C25" s="23">
        <f>SUM(D25:G25)</f>
        <v/>
      </c>
      <c r="D25" s="23" t="n">
        <v>1</v>
      </c>
      <c r="E25" s="23" t="n">
        <v>0</v>
      </c>
      <c r="F25" s="23" t="n">
        <v>0</v>
      </c>
      <c r="G25" s="23" t="n">
        <v>0</v>
      </c>
      <c r="H25" s="22" t="n"/>
    </row>
    <row r="26">
      <c r="A26" s="22" t="inlineStr">
        <is>
          <t>IT-05</t>
        </is>
      </c>
      <c r="B26" s="32">
        <f>IF(E26&gt;0,"FAIL",IF(F26&gt;0,"RED",IF(D26&gt;0,"PASS","SKIP")))</f>
        <v/>
      </c>
      <c r="C26" s="23">
        <f>SUM(D26:G26)</f>
        <v/>
      </c>
      <c r="D26" s="23" t="n">
        <v>1</v>
      </c>
      <c r="E26" s="23" t="n">
        <v>0</v>
      </c>
      <c r="F26" s="23" t="n">
        <v>0</v>
      </c>
      <c r="G26" s="23" t="n">
        <v>0</v>
      </c>
      <c r="H26" s="22" t="n"/>
    </row>
    <row r="27">
      <c r="A27" s="22" t="inlineStr">
        <is>
          <t>IT-06</t>
        </is>
      </c>
      <c r="B27" s="32">
        <f>IF(E27&gt;0,"FAIL",IF(F27&gt;0,"RED",IF(D27&gt;0,"PASS","SKIP")))</f>
        <v/>
      </c>
      <c r="C27" s="23">
        <f>SUM(D27:G27)</f>
        <v/>
      </c>
      <c r="D27" s="23" t="n">
        <v>1</v>
      </c>
      <c r="E27" s="23" t="n">
        <v>0</v>
      </c>
      <c r="F27" s="23" t="n">
        <v>0</v>
      </c>
      <c r="G27" s="23" t="n">
        <v>0</v>
      </c>
      <c r="H27" s="22" t="n"/>
    </row>
    <row r="28">
      <c r="A28" s="22" t="inlineStr">
        <is>
          <t>IT-07</t>
        </is>
      </c>
      <c r="B28" s="32">
        <f>IF(E28&gt;0,"FAIL",IF(F28&gt;0,"RED",IF(D28&gt;0,"PASS","SKIP")))</f>
        <v/>
      </c>
      <c r="C28" s="23">
        <f>SUM(D28:G28)</f>
        <v/>
      </c>
      <c r="D28" s="23" t="n">
        <v>1</v>
      </c>
      <c r="E28" s="23" t="n">
        <v>0</v>
      </c>
      <c r="F28" s="23" t="n">
        <v>0</v>
      </c>
      <c r="G28" s="23" t="n">
        <v>0</v>
      </c>
      <c r="H28" s="22" t="n"/>
    </row>
    <row r="29">
      <c r="A29" s="22" t="inlineStr">
        <is>
          <t>IT-08</t>
        </is>
      </c>
      <c r="B29" s="32">
        <f>IF(E29&gt;0,"FAIL",IF(F29&gt;0,"RED",IF(D29&gt;0,"PASS","SKIP")))</f>
        <v/>
      </c>
      <c r="C29" s="23">
        <f>SUM(D29:G29)</f>
        <v/>
      </c>
      <c r="D29" s="23" t="n">
        <v>4</v>
      </c>
      <c r="E29" s="23" t="n">
        <v>0</v>
      </c>
      <c r="F29" s="23" t="n">
        <v>0</v>
      </c>
      <c r="G29" s="23" t="n">
        <v>0</v>
      </c>
      <c r="H29" s="22" t="n"/>
    </row>
    <row r="30">
      <c r="A30" s="22" t="inlineStr">
        <is>
          <t>IT-09</t>
        </is>
      </c>
      <c r="B30" s="32">
        <f>IF(E30&gt;0,"FAIL",IF(F30&gt;0,"RED",IF(D30&gt;0,"PASS","SKIP")))</f>
        <v/>
      </c>
      <c r="C30" s="23">
        <f>SUM(D30:G30)</f>
        <v/>
      </c>
      <c r="D30" s="23" t="n">
        <v>1</v>
      </c>
      <c r="E30" s="23" t="n">
        <v>0</v>
      </c>
      <c r="F30" s="23" t="n">
        <v>0</v>
      </c>
      <c r="G30" s="23" t="n">
        <v>0</v>
      </c>
      <c r="H30" s="22" t="n"/>
    </row>
    <row r="31">
      <c r="A31" s="22" t="inlineStr">
        <is>
          <t>IT-10</t>
        </is>
      </c>
      <c r="B31" s="32">
        <f>IF(E31&gt;0,"FAIL",IF(F31&gt;0,"RED",IF(D31&gt;0,"PASS","SKIP")))</f>
        <v/>
      </c>
      <c r="C31" s="23">
        <f>SUM(D31:G31)</f>
        <v/>
      </c>
      <c r="D31" s="23" t="n">
        <v>1</v>
      </c>
      <c r="E31" s="23" t="n">
        <v>0</v>
      </c>
      <c r="F31" s="23" t="n">
        <v>0</v>
      </c>
      <c r="G31" s="23" t="n">
        <v>0</v>
      </c>
      <c r="H31" s="22" t="n"/>
    </row>
    <row r="32">
      <c r="A32" s="22" t="inlineStr">
        <is>
          <t>IT-11</t>
        </is>
      </c>
      <c r="B32" s="32">
        <f>IF(E32&gt;0,"FAIL",IF(F32&gt;0,"RED",IF(D32&gt;0,"PASS","SKIP")))</f>
        <v/>
      </c>
      <c r="C32" s="23">
        <f>SUM(D32:G32)</f>
        <v/>
      </c>
      <c r="D32" s="23" t="n">
        <v>4</v>
      </c>
      <c r="E32" s="23" t="n">
        <v>0</v>
      </c>
      <c r="F32" s="23" t="n">
        <v>6</v>
      </c>
      <c r="G32" s="23" t="n">
        <v>0</v>
      </c>
      <c r="H32" s="22" t="n"/>
    </row>
    <row r="33">
      <c r="A33" s="22" t="inlineStr">
        <is>
          <t>IT-12</t>
        </is>
      </c>
      <c r="B33" s="32">
        <f>IF(E33&gt;0,"FAIL",IF(F33&gt;0,"RED",IF(D33&gt;0,"PASS","SKIP")))</f>
        <v/>
      </c>
      <c r="C33" s="23">
        <f>SUM(D33:G33)</f>
        <v/>
      </c>
      <c r="D33" s="23" t="n">
        <v>1</v>
      </c>
      <c r="E33" s="23" t="n">
        <v>0</v>
      </c>
      <c r="F33" s="23" t="n">
        <v>0</v>
      </c>
      <c r="G33" s="23" t="n">
        <v>0</v>
      </c>
      <c r="H33" s="22" t="n"/>
    </row>
    <row r="34">
      <c r="A34" s="22" t="inlineStr">
        <is>
          <t>IT-13</t>
        </is>
      </c>
      <c r="B34" s="32">
        <f>IF(E34&gt;0,"FAIL",IF(F34&gt;0,"RED",IF(D34&gt;0,"PASS","SKIP")))</f>
        <v/>
      </c>
      <c r="C34" s="23">
        <f>SUM(D34:G34)</f>
        <v/>
      </c>
      <c r="D34" s="23" t="n">
        <v>0</v>
      </c>
      <c r="E34" s="23" t="n">
        <v>0</v>
      </c>
      <c r="F34" s="23" t="n">
        <v>1</v>
      </c>
      <c r="G34" s="23" t="n">
        <v>0</v>
      </c>
      <c r="H34" s="22" t="n"/>
    </row>
    <row r="35">
      <c r="A35" s="22" t="inlineStr">
        <is>
          <t>IT-14</t>
        </is>
      </c>
      <c r="B35" s="32">
        <f>IF(E35&gt;0,"FAIL",IF(F35&gt;0,"RED",IF(D35&gt;0,"PASS","SKIP")))</f>
        <v/>
      </c>
      <c r="C35" s="23">
        <f>SUM(D35:G35)</f>
        <v/>
      </c>
      <c r="D35" s="23" t="n">
        <v>0</v>
      </c>
      <c r="E35" s="23" t="n">
        <v>0</v>
      </c>
      <c r="F35" s="23" t="n">
        <v>1</v>
      </c>
      <c r="G35" s="23" t="n">
        <v>0</v>
      </c>
      <c r="H35" s="22" t="n"/>
    </row>
    <row r="36">
      <c r="A36" s="22" t="inlineStr">
        <is>
          <t>IT-15</t>
        </is>
      </c>
      <c r="B36" s="32">
        <f>IF(E36&gt;0,"FAIL",IF(F36&gt;0,"RED",IF(D36&gt;0,"PASS","SKIP")))</f>
        <v/>
      </c>
      <c r="C36" s="23">
        <f>SUM(D36:G36)</f>
        <v/>
      </c>
      <c r="D36" s="23" t="n">
        <v>0</v>
      </c>
      <c r="E36" s="23" t="n">
        <v>0</v>
      </c>
      <c r="F36" s="23" t="n">
        <v>6</v>
      </c>
      <c r="G36" s="23" t="n">
        <v>0</v>
      </c>
      <c r="H36" s="22" t="n"/>
    </row>
    <row r="37">
      <c r="A37" s="22" t="inlineStr">
        <is>
          <t>IT-16</t>
        </is>
      </c>
      <c r="B37" s="32">
        <f>IF(E37&gt;0,"FAIL",IF(F37&gt;0,"RED",IF(D37&gt;0,"PASS","SKIP")))</f>
        <v/>
      </c>
      <c r="C37" s="23">
        <f>SUM(D37:G37)</f>
        <v/>
      </c>
      <c r="D37" s="23" t="n">
        <v>0</v>
      </c>
      <c r="E37" s="23" t="n">
        <v>0</v>
      </c>
      <c r="F37" s="23" t="n">
        <v>1</v>
      </c>
      <c r="G37" s="23" t="n">
        <v>0</v>
      </c>
      <c r="H37" s="22" t="n"/>
    </row>
    <row r="38">
      <c r="A38" s="22" t="inlineStr">
        <is>
          <t>IT-17</t>
        </is>
      </c>
      <c r="B38" s="32">
        <f>IF(E38&gt;0,"FAIL",IF(F38&gt;0,"RED",IF(D38&gt;0,"PASS","SKIP")))</f>
        <v/>
      </c>
      <c r="C38" s="23">
        <f>SUM(D38:G38)</f>
        <v/>
      </c>
      <c r="D38" s="23" t="n">
        <v>0</v>
      </c>
      <c r="E38" s="23" t="n">
        <v>0</v>
      </c>
      <c r="F38" s="23" t="n">
        <v>1</v>
      </c>
      <c r="G38" s="23" t="n">
        <v>0</v>
      </c>
      <c r="H38" s="22" t="n"/>
    </row>
    <row r="39">
      <c r="A39" s="22" t="inlineStr">
        <is>
          <t>IT-18</t>
        </is>
      </c>
      <c r="B39" s="32">
        <f>IF(E39&gt;0,"FAIL",IF(F39&gt;0,"RED",IF(D39&gt;0,"PASS","SKIP")))</f>
        <v/>
      </c>
      <c r="C39" s="23">
        <f>SUM(D39:G39)</f>
        <v/>
      </c>
      <c r="D39" s="23" t="n">
        <v>1</v>
      </c>
      <c r="E39" s="23" t="n">
        <v>0</v>
      </c>
      <c r="F39" s="23" t="n">
        <v>0</v>
      </c>
      <c r="G39" s="23" t="n">
        <v>0</v>
      </c>
      <c r="H39" s="22" t="n"/>
    </row>
    <row r="40">
      <c r="A40" s="22" t="inlineStr">
        <is>
          <t>IT-19</t>
        </is>
      </c>
      <c r="B40" s="32">
        <f>IF(E40&gt;0,"FAIL",IF(F40&gt;0,"RED",IF(D40&gt;0,"PASS","SKIP")))</f>
        <v/>
      </c>
      <c r="C40" s="23">
        <f>SUM(D40:G40)</f>
        <v/>
      </c>
      <c r="D40" s="23" t="n">
        <v>1</v>
      </c>
      <c r="E40" s="23" t="n">
        <v>0</v>
      </c>
      <c r="F40" s="23" t="n">
        <v>0</v>
      </c>
      <c r="G40" s="23" t="n">
        <v>0</v>
      </c>
      <c r="H40" s="22" t="n"/>
    </row>
    <row r="41">
      <c r="A41" s="22" t="inlineStr">
        <is>
          <t>IT-20</t>
        </is>
      </c>
      <c r="B41" s="32">
        <f>IF(E41&gt;0,"FAIL",IF(F41&gt;0,"RED",IF(D41&gt;0,"PASS","SKIP")))</f>
        <v/>
      </c>
      <c r="C41" s="23">
        <f>SUM(D41:G41)</f>
        <v/>
      </c>
      <c r="D41" s="23" t="n">
        <v>1</v>
      </c>
      <c r="E41" s="23" t="n">
        <v>0</v>
      </c>
      <c r="F41" s="23" t="n">
        <v>0</v>
      </c>
      <c r="G41" s="23" t="n">
        <v>0</v>
      </c>
      <c r="H41" s="22" t="n"/>
    </row>
    <row r="42">
      <c r="A42" s="22" t="inlineStr">
        <is>
          <t>IT-21</t>
        </is>
      </c>
      <c r="B42" s="32">
        <f>IF(E42&gt;0,"FAIL",IF(F42&gt;0,"RED",IF(D42&gt;0,"PASS","SKIP")))</f>
        <v/>
      </c>
      <c r="C42" s="23">
        <f>SUM(D42:G42)</f>
        <v/>
      </c>
      <c r="D42" s="23" t="n">
        <v>4</v>
      </c>
      <c r="E42" s="23" t="n">
        <v>0</v>
      </c>
      <c r="F42" s="23" t="n">
        <v>0</v>
      </c>
      <c r="G42" s="23" t="n">
        <v>0</v>
      </c>
      <c r="H42" s="22" t="n"/>
    </row>
    <row r="43">
      <c r="A43" s="22" t="inlineStr">
        <is>
          <t>IT-22</t>
        </is>
      </c>
      <c r="B43" s="32">
        <f>IF(E43&gt;0,"FAIL",IF(F43&gt;0,"RED",IF(D43&gt;0,"PASS","SKIP")))</f>
        <v/>
      </c>
      <c r="C43" s="23">
        <f>SUM(D43:G43)</f>
        <v/>
      </c>
      <c r="D43" s="23" t="n">
        <v>1</v>
      </c>
      <c r="E43" s="23" t="n">
        <v>0</v>
      </c>
      <c r="F43" s="23" t="n">
        <v>0</v>
      </c>
      <c r="G43" s="23" t="n">
        <v>0</v>
      </c>
      <c r="H43" s="22" t="n"/>
    </row>
    <row r="44">
      <c r="A44" s="22" t="inlineStr">
        <is>
          <t>IT-23</t>
        </is>
      </c>
      <c r="B44" s="32">
        <f>IF(E44&gt;0,"FAIL",IF(F44&gt;0,"RED",IF(D44&gt;0,"PASS","SKIP")))</f>
        <v/>
      </c>
      <c r="C44" s="23">
        <f>SUM(D44:G44)</f>
        <v/>
      </c>
      <c r="D44" s="23" t="n">
        <v>1</v>
      </c>
      <c r="E44" s="23" t="n">
        <v>0</v>
      </c>
      <c r="F44" s="23" t="n">
        <v>0</v>
      </c>
      <c r="G44" s="23" t="n">
        <v>0</v>
      </c>
      <c r="H44" s="22" t="n"/>
    </row>
    <row r="45">
      <c r="A45" s="22" t="inlineStr">
        <is>
          <t>IT-24</t>
        </is>
      </c>
      <c r="B45" s="32">
        <f>IF(E45&gt;0,"FAIL",IF(F45&gt;0,"RED",IF(D45&gt;0,"PASS","SKIP")))</f>
        <v/>
      </c>
      <c r="C45" s="23">
        <f>SUM(D45:G45)</f>
        <v/>
      </c>
      <c r="D45" s="23" t="n">
        <v>1</v>
      </c>
      <c r="E45" s="23" t="n">
        <v>0</v>
      </c>
      <c r="F45" s="23" t="n">
        <v>0</v>
      </c>
      <c r="G45" s="23" t="n">
        <v>0</v>
      </c>
      <c r="H45" s="22" t="n"/>
    </row>
    <row r="46">
      <c r="A46" s="22" t="inlineStr">
        <is>
          <t>IT-25</t>
        </is>
      </c>
      <c r="B46" s="32">
        <f>IF(E46&gt;0,"FAIL",IF(F46&gt;0,"RED",IF(D46&gt;0,"PASS","SKIP")))</f>
        <v/>
      </c>
      <c r="C46" s="23">
        <f>SUM(D46:G46)</f>
        <v/>
      </c>
      <c r="D46" s="23" t="n">
        <v>0</v>
      </c>
      <c r="E46" s="23" t="n">
        <v>0</v>
      </c>
      <c r="F46" s="23" t="n">
        <v>1</v>
      </c>
      <c r="G46" s="23" t="n">
        <v>0</v>
      </c>
      <c r="H46" s="22" t="n"/>
    </row>
    <row r="47">
      <c r="A47" s="22" t="inlineStr">
        <is>
          <t>IT-26</t>
        </is>
      </c>
      <c r="B47" s="32">
        <f>IF(E47&gt;0,"FAIL",IF(F47&gt;0,"RED",IF(D47&gt;0,"PASS","SKIP")))</f>
        <v/>
      </c>
      <c r="C47" s="23">
        <f>SUM(D47:G47)</f>
        <v/>
      </c>
      <c r="D47" s="23" t="n">
        <v>0</v>
      </c>
      <c r="E47" s="23" t="n">
        <v>0</v>
      </c>
      <c r="F47" s="23" t="n">
        <v>1</v>
      </c>
      <c r="G47" s="23" t="n">
        <v>0</v>
      </c>
      <c r="H47" s="22" t="n"/>
    </row>
    <row r="48">
      <c r="A48" s="22" t="inlineStr">
        <is>
          <t>IT-27</t>
        </is>
      </c>
      <c r="B48" s="32">
        <f>IF(E48&gt;0,"FAIL",IF(F48&gt;0,"RED",IF(D48&gt;0,"PASS","SKIP")))</f>
        <v/>
      </c>
      <c r="C48" s="23">
        <f>SUM(D48:G48)</f>
        <v/>
      </c>
      <c r="D48" s="23" t="n">
        <v>0</v>
      </c>
      <c r="E48" s="23" t="n">
        <v>0</v>
      </c>
      <c r="F48" s="23" t="n">
        <v>1</v>
      </c>
      <c r="G48" s="23" t="n">
        <v>0</v>
      </c>
      <c r="H48" s="22" t="n"/>
    </row>
    <row r="49">
      <c r="A49" s="22" t="inlineStr">
        <is>
          <t>IT-28</t>
        </is>
      </c>
      <c r="B49" s="32">
        <f>IF(E49&gt;0,"FAIL",IF(F49&gt;0,"RED",IF(D49&gt;0,"PASS","SKIP")))</f>
        <v/>
      </c>
      <c r="C49" s="23">
        <f>SUM(D49:G49)</f>
        <v/>
      </c>
      <c r="D49" s="23" t="n">
        <v>0</v>
      </c>
      <c r="E49" s="23" t="n">
        <v>0</v>
      </c>
      <c r="F49" s="23" t="n">
        <v>1</v>
      </c>
      <c r="G49" s="23" t="n">
        <v>0</v>
      </c>
      <c r="H49" s="22" t="n"/>
    </row>
    <row r="50">
      <c r="A50" s="22" t="inlineStr">
        <is>
          <t>IT-29</t>
        </is>
      </c>
      <c r="B50" s="32">
        <f>IF(E50&gt;0,"FAIL",IF(F50&gt;0,"RED",IF(D50&gt;0,"PASS","SKIP")))</f>
        <v/>
      </c>
      <c r="C50" s="23">
        <f>SUM(D50:G50)</f>
        <v/>
      </c>
      <c r="D50" s="23" t="n">
        <v>0</v>
      </c>
      <c r="E50" s="23" t="n">
        <v>0</v>
      </c>
      <c r="F50" s="23" t="n">
        <v>1</v>
      </c>
      <c r="G50" s="23" t="n">
        <v>0</v>
      </c>
      <c r="H50" s="22" t="n"/>
    </row>
    <row r="51">
      <c r="A51" s="22" t="inlineStr">
        <is>
          <t>IT-30</t>
        </is>
      </c>
      <c r="B51" s="32">
        <f>IF(E51&gt;0,"FAIL",IF(F51&gt;0,"RED",IF(D51&gt;0,"PASS","SKIP")))</f>
        <v/>
      </c>
      <c r="C51" s="23">
        <f>SUM(D51:G51)</f>
        <v/>
      </c>
      <c r="D51" s="23" t="n">
        <v>0</v>
      </c>
      <c r="E51" s="23" t="n">
        <v>0</v>
      </c>
      <c r="F51" s="23" t="n">
        <v>1</v>
      </c>
      <c r="G51" s="23" t="n">
        <v>0</v>
      </c>
      <c r="H51" s="22" t="n"/>
    </row>
    <row r="52">
      <c r="A52" s="22" t="inlineStr">
        <is>
          <t>IT-31</t>
        </is>
      </c>
      <c r="B52" s="32">
        <f>IF(E52&gt;0,"FAIL",IF(F52&gt;0,"RED",IF(D52&gt;0,"PASS","SKIP")))</f>
        <v/>
      </c>
      <c r="C52" s="23">
        <f>SUM(D52:G52)</f>
        <v/>
      </c>
      <c r="D52" s="23" t="n">
        <v>0</v>
      </c>
      <c r="E52" s="23" t="n">
        <v>0</v>
      </c>
      <c r="F52" s="23" t="n">
        <v>1</v>
      </c>
      <c r="G52" s="23" t="n">
        <v>0</v>
      </c>
      <c r="H52" s="22" t="n"/>
    </row>
    <row r="53">
      <c r="A53" s="22" t="inlineStr">
        <is>
          <t>IT-32</t>
        </is>
      </c>
      <c r="B53" s="32">
        <f>IF(E53&gt;0,"FAIL",IF(F53&gt;0,"RED",IF(D53&gt;0,"PASS","SKIP")))</f>
        <v/>
      </c>
      <c r="C53" s="23">
        <f>SUM(D53:G53)</f>
        <v/>
      </c>
      <c r="D53" s="23" t="n">
        <v>0</v>
      </c>
      <c r="E53" s="23" t="n">
        <v>0</v>
      </c>
      <c r="F53" s="23" t="n">
        <v>1</v>
      </c>
      <c r="G53" s="23" t="n">
        <v>0</v>
      </c>
      <c r="H53" s="22" t="n"/>
    </row>
    <row r="54">
      <c r="A54" s="22" t="inlineStr">
        <is>
          <t>IT-33</t>
        </is>
      </c>
      <c r="B54" s="32">
        <f>IF(E54&gt;0,"FAIL",IF(F54&gt;0,"RED",IF(D54&gt;0,"PASS","SKIP")))</f>
        <v/>
      </c>
      <c r="C54" s="23">
        <f>SUM(D54:G54)</f>
        <v/>
      </c>
      <c r="D54" s="23" t="n">
        <v>1</v>
      </c>
      <c r="E54" s="23" t="n">
        <v>0</v>
      </c>
      <c r="F54" s="23" t="n">
        <v>0</v>
      </c>
      <c r="G54" s="23" t="n">
        <v>0</v>
      </c>
      <c r="H54" s="22" t="n"/>
    </row>
    <row r="55">
      <c r="A55" s="22" t="inlineStr">
        <is>
          <t>IT-34</t>
        </is>
      </c>
      <c r="B55" s="32">
        <f>IF(E55&gt;0,"FAIL",IF(F55&gt;0,"RED",IF(D55&gt;0,"PASS","SKIP")))</f>
        <v/>
      </c>
      <c r="C55" s="23">
        <f>SUM(D55:G55)</f>
        <v/>
      </c>
      <c r="D55" s="23" t="n">
        <v>1</v>
      </c>
      <c r="E55" s="23" t="n">
        <v>0</v>
      </c>
      <c r="F55" s="23" t="n">
        <v>0</v>
      </c>
      <c r="G55" s="23" t="n">
        <v>0</v>
      </c>
      <c r="H55" s="22" t="n"/>
    </row>
    <row r="56">
      <c r="A56" s="22" t="inlineStr">
        <is>
          <t>IT-35</t>
        </is>
      </c>
      <c r="B56" s="32">
        <f>IF(E56&gt;0,"FAIL",IF(F56&gt;0,"RED",IF(D56&gt;0,"PASS","SKIP")))</f>
        <v/>
      </c>
      <c r="C56" s="23">
        <f>SUM(D56:G56)</f>
        <v/>
      </c>
      <c r="D56" s="23" t="n">
        <v>1</v>
      </c>
      <c r="E56" s="23" t="n">
        <v>0</v>
      </c>
      <c r="F56" s="23" t="n">
        <v>0</v>
      </c>
      <c r="G56" s="23" t="n">
        <v>0</v>
      </c>
      <c r="H56" s="22" t="n"/>
    </row>
    <row r="57">
      <c r="A57" s="22" t="inlineStr">
        <is>
          <t>IT-36</t>
        </is>
      </c>
      <c r="B57" s="32">
        <f>IF(E57&gt;0,"FAIL",IF(F57&gt;0,"RED",IF(D57&gt;0,"PASS","SKIP")))</f>
        <v/>
      </c>
      <c r="C57" s="23">
        <f>SUM(D57:G57)</f>
        <v/>
      </c>
      <c r="D57" s="23" t="n">
        <v>1</v>
      </c>
      <c r="E57" s="23" t="n">
        <v>0</v>
      </c>
      <c r="F57" s="23" t="n">
        <v>0</v>
      </c>
      <c r="G57" s="23" t="n">
        <v>0</v>
      </c>
      <c r="H57" s="22" t="n"/>
    </row>
    <row r="58">
      <c r="A58" s="22" t="inlineStr">
        <is>
          <t>IT-37</t>
        </is>
      </c>
      <c r="B58" s="32">
        <f>IF(E58&gt;0,"FAIL",IF(F58&gt;0,"RED",IF(D58&gt;0,"PASS","SKIP")))</f>
        <v/>
      </c>
      <c r="C58" s="23">
        <f>SUM(D58:G58)</f>
        <v/>
      </c>
      <c r="D58" s="23" t="n">
        <v>1</v>
      </c>
      <c r="E58" s="23" t="n">
        <v>0</v>
      </c>
      <c r="F58" s="23" t="n">
        <v>0</v>
      </c>
      <c r="G58" s="23" t="n">
        <v>0</v>
      </c>
      <c r="H58" s="22" t="n"/>
    </row>
    <row r="59">
      <c r="A59" s="22" t="inlineStr">
        <is>
          <t>IT-38</t>
        </is>
      </c>
      <c r="B59" s="32">
        <f>IF(E59&gt;0,"FAIL",IF(F59&gt;0,"RED",IF(D59&gt;0,"PASS","SKIP")))</f>
        <v/>
      </c>
      <c r="C59" s="23">
        <f>SUM(D59:G59)</f>
        <v/>
      </c>
      <c r="D59" s="23" t="n">
        <v>1</v>
      </c>
      <c r="E59" s="23" t="n">
        <v>0</v>
      </c>
      <c r="F59" s="23" t="n">
        <v>0</v>
      </c>
      <c r="G59" s="23" t="n">
        <v>0</v>
      </c>
      <c r="H59" s="22" t="n"/>
    </row>
    <row r="60">
      <c r="A60" s="22" t="inlineStr">
        <is>
          <t>IT-39</t>
        </is>
      </c>
      <c r="B60" s="32">
        <f>IF(E60&gt;0,"FAIL",IF(F60&gt;0,"RED",IF(D60&gt;0,"PASS","SKIP")))</f>
        <v/>
      </c>
      <c r="C60" s="23">
        <f>SUM(D60:G60)</f>
        <v/>
      </c>
      <c r="D60" s="23" t="n">
        <v>1</v>
      </c>
      <c r="E60" s="23" t="n">
        <v>0</v>
      </c>
      <c r="F60" s="23" t="n">
        <v>0</v>
      </c>
      <c r="G60" s="23" t="n">
        <v>0</v>
      </c>
      <c r="H60" s="22" t="n"/>
    </row>
    <row r="61">
      <c r="A61" s="22" t="inlineStr">
        <is>
          <t>IT-40</t>
        </is>
      </c>
      <c r="B61" s="32">
        <f>IF(E61&gt;0,"FAIL",IF(F61&gt;0,"RED",IF(D61&gt;0,"PASS","SKIP")))</f>
        <v/>
      </c>
      <c r="C61" s="23">
        <f>SUM(D61:G61)</f>
        <v/>
      </c>
      <c r="D61" s="23" t="n">
        <v>1</v>
      </c>
      <c r="E61" s="23" t="n">
        <v>0</v>
      </c>
      <c r="F61" s="23" t="n">
        <v>0</v>
      </c>
      <c r="G61" s="23" t="n">
        <v>0</v>
      </c>
      <c r="H61" s="22" t="n"/>
    </row>
    <row r="62">
      <c r="A62" s="22" t="inlineStr">
        <is>
          <t>IT-41</t>
        </is>
      </c>
      <c r="B62" s="32">
        <f>IF(E62&gt;0,"FAIL",IF(F62&gt;0,"RED",IF(D62&gt;0,"PASS","SKIP")))</f>
        <v/>
      </c>
      <c r="C62" s="23">
        <f>SUM(D62:G62)</f>
        <v/>
      </c>
      <c r="D62" s="23" t="n">
        <v>1</v>
      </c>
      <c r="E62" s="23" t="n">
        <v>0</v>
      </c>
      <c r="F62" s="23" t="n">
        <v>0</v>
      </c>
      <c r="G62" s="23" t="n">
        <v>0</v>
      </c>
      <c r="H62" s="22" t="n"/>
    </row>
    <row r="63">
      <c r="A63" s="22" t="inlineStr">
        <is>
          <t>IT-42</t>
        </is>
      </c>
      <c r="B63" s="32">
        <f>IF(E63&gt;0,"FAIL",IF(F63&gt;0,"RED",IF(D63&gt;0,"PASS","SKIP")))</f>
        <v/>
      </c>
      <c r="C63" s="23">
        <f>SUM(D63:G63)</f>
        <v/>
      </c>
      <c r="D63" s="23" t="n">
        <v>1</v>
      </c>
      <c r="E63" s="23" t="n">
        <v>0</v>
      </c>
      <c r="F63" s="23" t="n">
        <v>0</v>
      </c>
      <c r="G63" s="23" t="n">
        <v>0</v>
      </c>
      <c r="H63" s="22" t="n"/>
    </row>
    <row r="64">
      <c r="A64" s="22" t="inlineStr">
        <is>
          <t>IT-43</t>
        </is>
      </c>
      <c r="B64" s="32">
        <f>IF(E64&gt;0,"FAIL",IF(F64&gt;0,"RED",IF(D64&gt;0,"PASS","SKIP")))</f>
        <v/>
      </c>
      <c r="C64" s="23">
        <f>SUM(D64:G64)</f>
        <v/>
      </c>
      <c r="D64" s="23" t="n">
        <v>1</v>
      </c>
      <c r="E64" s="23" t="n">
        <v>0</v>
      </c>
      <c r="F64" s="23" t="n">
        <v>0</v>
      </c>
      <c r="G64" s="23" t="n">
        <v>0</v>
      </c>
      <c r="H64" s="22" t="n"/>
    </row>
    <row r="65">
      <c r="A65" s="22" t="inlineStr">
        <is>
          <t>IT-44</t>
        </is>
      </c>
      <c r="B65" s="32">
        <f>IF(E65&gt;0,"FAIL",IF(F65&gt;0,"RED",IF(D65&gt;0,"PASS","SKIP")))</f>
        <v/>
      </c>
      <c r="C65" s="23">
        <f>SUM(D65:G65)</f>
        <v/>
      </c>
      <c r="D65" s="23" t="n">
        <v>1</v>
      </c>
      <c r="E65" s="23" t="n">
        <v>0</v>
      </c>
      <c r="F65" s="23" t="n">
        <v>0</v>
      </c>
      <c r="G65" s="23" t="n">
        <v>0</v>
      </c>
      <c r="H65" s="22" t="n"/>
    </row>
    <row r="66">
      <c r="A66" s="22" t="inlineStr">
        <is>
          <t>IT-45</t>
        </is>
      </c>
      <c r="B66" s="32">
        <f>IF(E66&gt;0,"FAIL",IF(F66&gt;0,"RED",IF(D66&gt;0,"PASS","SKIP")))</f>
        <v/>
      </c>
      <c r="C66" s="23">
        <f>SUM(D66:G66)</f>
        <v/>
      </c>
      <c r="D66" s="23" t="n">
        <v>1</v>
      </c>
      <c r="E66" s="23" t="n">
        <v>0</v>
      </c>
      <c r="F66" s="23" t="n">
        <v>0</v>
      </c>
      <c r="G66" s="23" t="n">
        <v>0</v>
      </c>
      <c r="H66" s="22" t="n"/>
    </row>
    <row r="67">
      <c r="A67" s="22" t="inlineStr">
        <is>
          <t>IT-ATK-01</t>
        </is>
      </c>
      <c r="B67" s="32">
        <f>IF(E67&gt;0,"FAIL",IF(F67&gt;0,"RED",IF(D67&gt;0,"PASS","SKIP")))</f>
        <v/>
      </c>
      <c r="C67" s="23">
        <f>SUM(D67:G67)</f>
        <v/>
      </c>
      <c r="D67" s="23" t="n">
        <v>1</v>
      </c>
      <c r="E67" s="23" t="n">
        <v>0</v>
      </c>
      <c r="F67" s="23" t="n">
        <v>0</v>
      </c>
      <c r="G67" s="23" t="n">
        <v>0</v>
      </c>
      <c r="H67" s="22" t="n"/>
    </row>
    <row r="68">
      <c r="A68" s="22" t="inlineStr">
        <is>
          <t>IT-ATK-02</t>
        </is>
      </c>
      <c r="B68" s="32">
        <f>IF(E68&gt;0,"FAIL",IF(F68&gt;0,"RED",IF(D68&gt;0,"PASS","SKIP")))</f>
        <v/>
      </c>
      <c r="C68" s="23">
        <f>SUM(D68:G68)</f>
        <v/>
      </c>
      <c r="D68" s="23" t="n">
        <v>1</v>
      </c>
      <c r="E68" s="23" t="n">
        <v>0</v>
      </c>
      <c r="F68" s="23" t="n">
        <v>0</v>
      </c>
      <c r="G68" s="23" t="n">
        <v>0</v>
      </c>
      <c r="H68" s="22" t="n"/>
    </row>
    <row r="69">
      <c r="A69" s="22" t="inlineStr">
        <is>
          <t>IT-ATK-03</t>
        </is>
      </c>
      <c r="B69" s="32">
        <f>IF(E69&gt;0,"FAIL",IF(F69&gt;0,"RED",IF(D69&gt;0,"PASS","SKIP")))</f>
        <v/>
      </c>
      <c r="C69" s="23">
        <f>SUM(D69:G69)</f>
        <v/>
      </c>
      <c r="D69" s="23" t="n">
        <v>1</v>
      </c>
      <c r="E69" s="23" t="n">
        <v>0</v>
      </c>
      <c r="F69" s="23" t="n">
        <v>0</v>
      </c>
      <c r="G69" s="23" t="n">
        <v>0</v>
      </c>
      <c r="H69" s="22" t="n"/>
    </row>
    <row r="70">
      <c r="A70" s="22" t="inlineStr">
        <is>
          <t>IT-ATK-04</t>
        </is>
      </c>
      <c r="B70" s="32">
        <f>IF(E70&gt;0,"FAIL",IF(F70&gt;0,"RED",IF(D70&gt;0,"PASS","SKIP")))</f>
        <v/>
      </c>
      <c r="C70" s="23">
        <f>SUM(D70:G70)</f>
        <v/>
      </c>
      <c r="D70" s="23" t="n">
        <v>1</v>
      </c>
      <c r="E70" s="23" t="n">
        <v>0</v>
      </c>
      <c r="F70" s="23" t="n">
        <v>0</v>
      </c>
      <c r="G70" s="23" t="n">
        <v>0</v>
      </c>
      <c r="H70" s="22" t="n"/>
    </row>
    <row r="71">
      <c r="A71" s="22" t="inlineStr">
        <is>
          <t>IT-ATK-05</t>
        </is>
      </c>
      <c r="B71" s="32">
        <f>IF(E71&gt;0,"FAIL",IF(F71&gt;0,"RED",IF(D71&gt;0,"PASS","SKIP")))</f>
        <v/>
      </c>
      <c r="C71" s="23">
        <f>SUM(D71:G71)</f>
        <v/>
      </c>
      <c r="D71" s="23" t="n">
        <v>7</v>
      </c>
      <c r="E71" s="23" t="n">
        <v>0</v>
      </c>
      <c r="F71" s="23" t="n">
        <v>0</v>
      </c>
      <c r="G71" s="23" t="n">
        <v>0</v>
      </c>
      <c r="H71" s="22" t="n"/>
    </row>
    <row r="72">
      <c r="A72" s="22" t="inlineStr">
        <is>
          <t>IT-ATK-06</t>
        </is>
      </c>
      <c r="B72" s="32">
        <f>IF(E72&gt;0,"FAIL",IF(F72&gt;0,"RED",IF(D72&gt;0,"PASS","SKIP")))</f>
        <v/>
      </c>
      <c r="C72" s="23">
        <f>SUM(D72:G72)</f>
        <v/>
      </c>
      <c r="D72" s="23" t="n">
        <v>1</v>
      </c>
      <c r="E72" s="23" t="n">
        <v>0</v>
      </c>
      <c r="F72" s="23" t="n">
        <v>0</v>
      </c>
      <c r="G72" s="23" t="n">
        <v>0</v>
      </c>
      <c r="H72" s="22" t="n"/>
    </row>
    <row r="73">
      <c r="A73" s="22" t="inlineStr">
        <is>
          <t>IT-ATK-07</t>
        </is>
      </c>
      <c r="B73" s="32">
        <f>IF(E73&gt;0,"FAIL",IF(F73&gt;0,"RED",IF(D73&gt;0,"PASS","SKIP")))</f>
        <v/>
      </c>
      <c r="C73" s="23">
        <f>SUM(D73:G73)</f>
        <v/>
      </c>
      <c r="D73" s="23" t="n">
        <v>1</v>
      </c>
      <c r="E73" s="23" t="n">
        <v>0</v>
      </c>
      <c r="F73" s="23" t="n">
        <v>0</v>
      </c>
      <c r="G73" s="23" t="n">
        <v>0</v>
      </c>
      <c r="H73" s="22" t="n"/>
    </row>
    <row r="74">
      <c r="A74" s="22" t="inlineStr">
        <is>
          <t>IT-ATK-08</t>
        </is>
      </c>
      <c r="B74" s="32">
        <f>IF(E74&gt;0,"FAIL",IF(F74&gt;0,"RED",IF(D74&gt;0,"PASS","SKIP")))</f>
        <v/>
      </c>
      <c r="C74" s="23">
        <f>SUM(D74:G74)</f>
        <v/>
      </c>
      <c r="D74" s="23" t="n">
        <v>12</v>
      </c>
      <c r="E74" s="23" t="n">
        <v>0</v>
      </c>
      <c r="F74" s="23" t="n">
        <v>0</v>
      </c>
      <c r="G74" s="23" t="n">
        <v>0</v>
      </c>
      <c r="H74" s="22" t="n"/>
    </row>
    <row r="75">
      <c r="A75" s="22" t="inlineStr">
        <is>
          <t>IT-ATK-09</t>
        </is>
      </c>
      <c r="B75" s="32">
        <f>IF(E75&gt;0,"FAIL",IF(F75&gt;0,"RED",IF(D75&gt;0,"PASS","SKIP")))</f>
        <v/>
      </c>
      <c r="C75" s="23">
        <f>SUM(D75:G75)</f>
        <v/>
      </c>
      <c r="D75" s="23" t="n">
        <v>1</v>
      </c>
      <c r="E75" s="23" t="n">
        <v>0</v>
      </c>
      <c r="F75" s="23" t="n">
        <v>0</v>
      </c>
      <c r="G75" s="23" t="n">
        <v>0</v>
      </c>
      <c r="H75" s="22" t="n"/>
    </row>
    <row r="76">
      <c r="A76" s="22" t="inlineStr">
        <is>
          <t>IT-ATK-10</t>
        </is>
      </c>
      <c r="B76" s="32">
        <f>IF(E76&gt;0,"FAIL",IF(F76&gt;0,"RED",IF(D76&gt;0,"PASS","SKIP")))</f>
        <v/>
      </c>
      <c r="C76" s="23">
        <f>SUM(D76:G76)</f>
        <v/>
      </c>
      <c r="D76" s="23" t="n">
        <v>1</v>
      </c>
      <c r="E76" s="23" t="n">
        <v>0</v>
      </c>
      <c r="F76" s="23" t="n">
        <v>0</v>
      </c>
      <c r="G76" s="23" t="n">
        <v>0</v>
      </c>
      <c r="H76" s="22" t="n"/>
    </row>
    <row r="77">
      <c r="A77" s="22" t="inlineStr">
        <is>
          <t>IT-ATK-11</t>
        </is>
      </c>
      <c r="B77" s="32">
        <f>IF(E77&gt;0,"FAIL",IF(F77&gt;0,"RED",IF(D77&gt;0,"PASS","SKIP")))</f>
        <v/>
      </c>
      <c r="C77" s="23">
        <f>SUM(D77:G77)</f>
        <v/>
      </c>
      <c r="D77" s="23" t="n">
        <v>1</v>
      </c>
      <c r="E77" s="23" t="n">
        <v>0</v>
      </c>
      <c r="F77" s="23" t="n">
        <v>0</v>
      </c>
      <c r="G77" s="23" t="n">
        <v>0</v>
      </c>
      <c r="H77" s="22" t="n"/>
    </row>
    <row r="78">
      <c r="A78" s="22" t="inlineStr">
        <is>
          <t>IT-ATK-12</t>
        </is>
      </c>
      <c r="B78" s="32">
        <f>IF(E78&gt;0,"FAIL",IF(F78&gt;0,"RED",IF(D78&gt;0,"PASS","SKIP")))</f>
        <v/>
      </c>
      <c r="C78" s="23">
        <f>SUM(D78:G78)</f>
        <v/>
      </c>
      <c r="D78" s="23" t="n">
        <v>1</v>
      </c>
      <c r="E78" s="23" t="n">
        <v>0</v>
      </c>
      <c r="F78" s="23" t="n">
        <v>0</v>
      </c>
      <c r="G78" s="23" t="n">
        <v>0</v>
      </c>
      <c r="H78" s="22" t="n"/>
    </row>
    <row r="79">
      <c r="A79" s="22" t="inlineStr">
        <is>
          <t>IT-ATK-13</t>
        </is>
      </c>
      <c r="B79" s="32">
        <f>IF(E79&gt;0,"FAIL",IF(F79&gt;0,"RED",IF(D79&gt;0,"PASS","SKIP")))</f>
        <v/>
      </c>
      <c r="C79" s="23">
        <f>SUM(D79:G79)</f>
        <v/>
      </c>
      <c r="D79" s="23" t="n">
        <v>1</v>
      </c>
      <c r="E79" s="23" t="n">
        <v>0</v>
      </c>
      <c r="F79" s="23" t="n">
        <v>0</v>
      </c>
      <c r="G79" s="23" t="n">
        <v>0</v>
      </c>
      <c r="H79" s="22" t="n"/>
    </row>
    <row r="80">
      <c r="A80" s="22" t="inlineStr">
        <is>
          <t>IT-ATK-14</t>
        </is>
      </c>
      <c r="B80" s="32">
        <f>IF(E80&gt;0,"FAIL",IF(F80&gt;0,"RED",IF(D80&gt;0,"PASS","SKIP")))</f>
        <v/>
      </c>
      <c r="C80" s="23">
        <f>SUM(D80:G80)</f>
        <v/>
      </c>
      <c r="D80" s="23" t="n">
        <v>1</v>
      </c>
      <c r="E80" s="23" t="n">
        <v>0</v>
      </c>
      <c r="F80" s="23" t="n">
        <v>0</v>
      </c>
      <c r="G80" s="23" t="n">
        <v>0</v>
      </c>
      <c r="H80" s="22" t="n"/>
    </row>
    <row r="81">
      <c r="A81" s="22" t="inlineStr">
        <is>
          <t>IT-ATK-15</t>
        </is>
      </c>
      <c r="B81" s="32">
        <f>IF(E81&gt;0,"FAIL",IF(F81&gt;0,"RED",IF(D81&gt;0,"PASS","SKIP")))</f>
        <v/>
      </c>
      <c r="C81" s="23">
        <f>SUM(D81:G81)</f>
        <v/>
      </c>
      <c r="D81" s="23" t="n">
        <v>1</v>
      </c>
      <c r="E81" s="23" t="n">
        <v>0</v>
      </c>
      <c r="F81" s="23" t="n">
        <v>0</v>
      </c>
      <c r="G81" s="23" t="n">
        <v>0</v>
      </c>
      <c r="H81" s="22" t="n"/>
    </row>
    <row r="82">
      <c r="A82" s="22" t="inlineStr">
        <is>
          <t>IT-ATK-16</t>
        </is>
      </c>
      <c r="B82" s="32">
        <f>IF(E82&gt;0,"FAIL",IF(F82&gt;0,"RED",IF(D82&gt;0,"PASS","SKIP")))</f>
        <v/>
      </c>
      <c r="C82" s="23">
        <f>SUM(D82:G82)</f>
        <v/>
      </c>
      <c r="D82" s="23" t="n">
        <v>1</v>
      </c>
      <c r="E82" s="23" t="n">
        <v>0</v>
      </c>
      <c r="F82" s="23" t="n">
        <v>0</v>
      </c>
      <c r="G82" s="23" t="n">
        <v>0</v>
      </c>
      <c r="H82" s="22" t="n"/>
    </row>
    <row r="83">
      <c r="A83" s="22" t="inlineStr">
        <is>
          <t>IT-ATK-17</t>
        </is>
      </c>
      <c r="B83" s="32">
        <f>IF(E83&gt;0,"FAIL",IF(F83&gt;0,"RED",IF(D83&gt;0,"PASS","SKIP")))</f>
        <v/>
      </c>
      <c r="C83" s="23">
        <f>SUM(D83:G83)</f>
        <v/>
      </c>
      <c r="D83" s="23" t="n">
        <v>1</v>
      </c>
      <c r="E83" s="23" t="n">
        <v>0</v>
      </c>
      <c r="F83" s="23" t="n">
        <v>0</v>
      </c>
      <c r="G83" s="23" t="n">
        <v>0</v>
      </c>
      <c r="H83" s="22" t="n"/>
    </row>
    <row r="84">
      <c r="A84" s="22" t="inlineStr">
        <is>
          <t>IT-ATK-18</t>
        </is>
      </c>
      <c r="B84" s="32">
        <f>IF(E84&gt;0,"FAIL",IF(F84&gt;0,"RED",IF(D84&gt;0,"PASS","SKIP")))</f>
        <v/>
      </c>
      <c r="C84" s="23">
        <f>SUM(D84:G84)</f>
        <v/>
      </c>
      <c r="D84" s="23" t="n">
        <v>1</v>
      </c>
      <c r="E84" s="23" t="n">
        <v>0</v>
      </c>
      <c r="F84" s="23" t="n">
        <v>0</v>
      </c>
      <c r="G84" s="23" t="n">
        <v>0</v>
      </c>
      <c r="H84" s="22" t="n"/>
    </row>
    <row r="85">
      <c r="A85" s="22" t="inlineStr">
        <is>
          <t>IT-ATK-19</t>
        </is>
      </c>
      <c r="B85" s="32">
        <f>IF(E85&gt;0,"FAIL",IF(F85&gt;0,"RED",IF(D85&gt;0,"PASS","SKIP")))</f>
        <v/>
      </c>
      <c r="C85" s="23">
        <f>SUM(D85:G85)</f>
        <v/>
      </c>
      <c r="D85" s="23" t="n">
        <v>1</v>
      </c>
      <c r="E85" s="23" t="n">
        <v>0</v>
      </c>
      <c r="F85" s="23" t="n">
        <v>0</v>
      </c>
      <c r="G85" s="23" t="n">
        <v>0</v>
      </c>
      <c r="H85" s="22" t="n"/>
    </row>
    <row r="86">
      <c r="A86" s="22" t="inlineStr">
        <is>
          <t>IT-ATK-20</t>
        </is>
      </c>
      <c r="B86" s="32">
        <f>IF(E86&gt;0,"FAIL",IF(F86&gt;0,"RED",IF(D86&gt;0,"PASS","SKIP")))</f>
        <v/>
      </c>
      <c r="C86" s="23">
        <f>SUM(D86:G86)</f>
        <v/>
      </c>
      <c r="D86" s="23" t="n">
        <v>1</v>
      </c>
      <c r="E86" s="23" t="n">
        <v>0</v>
      </c>
      <c r="F86" s="23" t="n">
        <v>0</v>
      </c>
      <c r="G86" s="23" t="n">
        <v>0</v>
      </c>
      <c r="H86" s="22" t="n"/>
    </row>
    <row r="87">
      <c r="A87" s="22" t="inlineStr">
        <is>
          <t>IT-ATK-21</t>
        </is>
      </c>
      <c r="B87" s="32">
        <f>IF(E87&gt;0,"FAIL",IF(F87&gt;0,"RED",IF(D87&gt;0,"PASS","SKIP")))</f>
        <v/>
      </c>
      <c r="C87" s="23">
        <f>SUM(D87:G87)</f>
        <v/>
      </c>
      <c r="D87" s="23" t="n">
        <v>1</v>
      </c>
      <c r="E87" s="23" t="n">
        <v>0</v>
      </c>
      <c r="F87" s="23" t="n">
        <v>0</v>
      </c>
      <c r="G87" s="23" t="n">
        <v>0</v>
      </c>
      <c r="H87" s="22" t="n"/>
    </row>
    <row r="88">
      <c r="A88" s="22" t="inlineStr">
        <is>
          <t>IT-ATK-22</t>
        </is>
      </c>
      <c r="B88" s="32">
        <f>IF(E88&gt;0,"FAIL",IF(F88&gt;0,"RED",IF(D88&gt;0,"PASS","SKIP")))</f>
        <v/>
      </c>
      <c r="C88" s="23">
        <f>SUM(D88:G88)</f>
        <v/>
      </c>
      <c r="D88" s="23" t="n">
        <v>1</v>
      </c>
      <c r="E88" s="23" t="n">
        <v>0</v>
      </c>
      <c r="F88" s="23" t="n">
        <v>0</v>
      </c>
      <c r="G88" s="23" t="n">
        <v>0</v>
      </c>
      <c r="H88" s="22" t="n"/>
    </row>
    <row r="89">
      <c r="A89" s="22" t="inlineStr">
        <is>
          <t>IT-ATK-23</t>
        </is>
      </c>
      <c r="B89" s="32">
        <f>IF(E89&gt;0,"FAIL",IF(F89&gt;0,"RED",IF(D89&gt;0,"PASS","SKIP")))</f>
        <v/>
      </c>
      <c r="C89" s="23">
        <f>SUM(D89:G89)</f>
        <v/>
      </c>
      <c r="D89" s="23" t="n">
        <v>1</v>
      </c>
      <c r="E89" s="23" t="n">
        <v>0</v>
      </c>
      <c r="F89" s="23" t="n">
        <v>0</v>
      </c>
      <c r="G89" s="23" t="n">
        <v>0</v>
      </c>
      <c r="H89" s="22" t="n"/>
    </row>
    <row r="90">
      <c r="A90" s="22" t="inlineStr">
        <is>
          <t>IT-ATK-24</t>
        </is>
      </c>
      <c r="B90" s="32">
        <f>IF(E90&gt;0,"FAIL",IF(F90&gt;0,"RED",IF(D90&gt;0,"PASS","SKIP")))</f>
        <v/>
      </c>
      <c r="C90" s="23">
        <f>SUM(D90:G90)</f>
        <v/>
      </c>
      <c r="D90" s="23" t="n">
        <v>1</v>
      </c>
      <c r="E90" s="23" t="n">
        <v>0</v>
      </c>
      <c r="F90" s="23" t="n">
        <v>0</v>
      </c>
      <c r="G90" s="23" t="n">
        <v>0</v>
      </c>
      <c r="H90" s="22" t="n"/>
    </row>
    <row r="91">
      <c r="A91" s="22" t="inlineStr">
        <is>
          <t>UT-ATK-01</t>
        </is>
      </c>
      <c r="B91" s="32">
        <f>IF(E91&gt;0,"FAIL",IF(F91&gt;0,"RED",IF(D91&gt;0,"PASS","SKIP")))</f>
        <v/>
      </c>
      <c r="C91" s="23">
        <f>SUM(D91:G91)</f>
        <v/>
      </c>
      <c r="D91" s="23" t="n">
        <v>1</v>
      </c>
      <c r="E91" s="23" t="n">
        <v>0</v>
      </c>
      <c r="F91" s="23" t="n">
        <v>0</v>
      </c>
      <c r="G91" s="23" t="n">
        <v>0</v>
      </c>
      <c r="H91" s="22" t="n"/>
    </row>
    <row r="92">
      <c r="A92" s="22" t="inlineStr">
        <is>
          <t>UT-ATK-02</t>
        </is>
      </c>
      <c r="B92" s="32">
        <f>IF(E92&gt;0,"FAIL",IF(F92&gt;0,"RED",IF(D92&gt;0,"PASS","SKIP")))</f>
        <v/>
      </c>
      <c r="C92" s="23">
        <f>SUM(D92:G92)</f>
        <v/>
      </c>
      <c r="D92" s="23" t="n">
        <v>1</v>
      </c>
      <c r="E92" s="23" t="n">
        <v>0</v>
      </c>
      <c r="F92" s="23" t="n">
        <v>0</v>
      </c>
      <c r="G92" s="23" t="n">
        <v>0</v>
      </c>
      <c r="H92" s="22" t="n"/>
    </row>
    <row r="93">
      <c r="A93" s="22" t="inlineStr">
        <is>
          <t>UT-ATK-03</t>
        </is>
      </c>
      <c r="B93" s="32">
        <f>IF(E93&gt;0,"FAIL",IF(F93&gt;0,"RED",IF(D93&gt;0,"PASS","SKIP")))</f>
        <v/>
      </c>
      <c r="C93" s="23">
        <f>SUM(D93:G93)</f>
        <v/>
      </c>
      <c r="D93" s="23" t="n">
        <v>1</v>
      </c>
      <c r="E93" s="23" t="n">
        <v>0</v>
      </c>
      <c r="F93" s="23" t="n">
        <v>0</v>
      </c>
      <c r="G93" s="23" t="n">
        <v>0</v>
      </c>
      <c r="H93" s="22" t="n"/>
    </row>
    <row r="94">
      <c r="A94" s="22" t="inlineStr">
        <is>
          <t>UT-ATK-04</t>
        </is>
      </c>
      <c r="B94" s="32">
        <f>IF(E94&gt;0,"FAIL",IF(F94&gt;0,"RED",IF(D94&gt;0,"PASS","SKIP")))</f>
        <v/>
      </c>
      <c r="C94" s="23">
        <f>SUM(D94:G94)</f>
        <v/>
      </c>
      <c r="D94" s="23" t="n">
        <v>1</v>
      </c>
      <c r="E94" s="23" t="n">
        <v>0</v>
      </c>
      <c r="F94" s="23" t="n">
        <v>0</v>
      </c>
      <c r="G94" s="23" t="n">
        <v>0</v>
      </c>
      <c r="H94" s="22" t="n"/>
    </row>
    <row r="95">
      <c r="A95" s="22" t="inlineStr">
        <is>
          <t>UT-AUTH-01</t>
        </is>
      </c>
      <c r="B95" s="32">
        <f>IF(E95&gt;0,"FAIL",IF(F95&gt;0,"RED",IF(D95&gt;0,"PASS","SKIP")))</f>
        <v/>
      </c>
      <c r="C95" s="23">
        <f>SUM(D95:G95)</f>
        <v/>
      </c>
      <c r="D95" s="23" t="n">
        <v>1</v>
      </c>
      <c r="E95" s="23" t="n">
        <v>0</v>
      </c>
      <c r="F95" s="23" t="n">
        <v>0</v>
      </c>
      <c r="G95" s="23" t="n">
        <v>0</v>
      </c>
      <c r="H95" s="22" t="n"/>
    </row>
    <row r="96">
      <c r="A96" s="22" t="inlineStr">
        <is>
          <t>UT-AUTH-02</t>
        </is>
      </c>
      <c r="B96" s="32">
        <f>IF(E96&gt;0,"FAIL",IF(F96&gt;0,"RED",IF(D96&gt;0,"PASS","SKIP")))</f>
        <v/>
      </c>
      <c r="C96" s="23">
        <f>SUM(D96:G96)</f>
        <v/>
      </c>
      <c r="D96" s="23" t="n">
        <v>1</v>
      </c>
      <c r="E96" s="23" t="n">
        <v>0</v>
      </c>
      <c r="F96" s="23" t="n">
        <v>0</v>
      </c>
      <c r="G96" s="23" t="n">
        <v>0</v>
      </c>
      <c r="H96" s="22" t="n"/>
    </row>
    <row r="97">
      <c r="A97" s="22" t="inlineStr">
        <is>
          <t>UT-AUTH-03</t>
        </is>
      </c>
      <c r="B97" s="32">
        <f>IF(E97&gt;0,"FAIL",IF(F97&gt;0,"RED",IF(D97&gt;0,"PASS","SKIP")))</f>
        <v/>
      </c>
      <c r="C97" s="23">
        <f>SUM(D97:G97)</f>
        <v/>
      </c>
      <c r="D97" s="23" t="n">
        <v>1</v>
      </c>
      <c r="E97" s="23" t="n">
        <v>0</v>
      </c>
      <c r="F97" s="23" t="n">
        <v>0</v>
      </c>
      <c r="G97" s="23" t="n">
        <v>0</v>
      </c>
      <c r="H97" s="22" t="n"/>
    </row>
    <row r="98">
      <c r="A98" s="22" t="inlineStr">
        <is>
          <t>UT-AUTH-04</t>
        </is>
      </c>
      <c r="B98" s="32">
        <f>IF(E98&gt;0,"FAIL",IF(F98&gt;0,"RED",IF(D98&gt;0,"PASS","SKIP")))</f>
        <v/>
      </c>
      <c r="C98" s="23">
        <f>SUM(D98:G98)</f>
        <v/>
      </c>
      <c r="D98" s="23" t="n">
        <v>1</v>
      </c>
      <c r="E98" s="23" t="n">
        <v>0</v>
      </c>
      <c r="F98" s="23" t="n">
        <v>0</v>
      </c>
      <c r="G98" s="23" t="n">
        <v>0</v>
      </c>
      <c r="H98" s="22" t="n"/>
    </row>
    <row r="99">
      <c r="A99" s="22" t="inlineStr">
        <is>
          <t>UT-AUTH-05</t>
        </is>
      </c>
      <c r="B99" s="32">
        <f>IF(E99&gt;0,"FAIL",IF(F99&gt;0,"RED",IF(D99&gt;0,"PASS","SKIP")))</f>
        <v/>
      </c>
      <c r="C99" s="23">
        <f>SUM(D99:G99)</f>
        <v/>
      </c>
      <c r="D99" s="23" t="n">
        <v>1</v>
      </c>
      <c r="E99" s="23" t="n">
        <v>0</v>
      </c>
      <c r="F99" s="23" t="n">
        <v>0</v>
      </c>
      <c r="G99" s="23" t="n">
        <v>0</v>
      </c>
      <c r="H99" s="22" t="n"/>
    </row>
    <row r="100">
      <c r="A100" s="22" t="inlineStr">
        <is>
          <t>UT-AUTH-06</t>
        </is>
      </c>
      <c r="B100" s="32">
        <f>IF(E100&gt;0,"FAIL",IF(F100&gt;0,"RED",IF(D100&gt;0,"PASS","SKIP")))</f>
        <v/>
      </c>
      <c r="C100" s="23">
        <f>SUM(D100:G100)</f>
        <v/>
      </c>
      <c r="D100" s="23" t="n">
        <v>4</v>
      </c>
      <c r="E100" s="23" t="n">
        <v>0</v>
      </c>
      <c r="F100" s="23" t="n">
        <v>0</v>
      </c>
      <c r="G100" s="23" t="n">
        <v>0</v>
      </c>
      <c r="H100" s="22" t="n"/>
    </row>
    <row r="101">
      <c r="A101" s="22" t="inlineStr">
        <is>
          <t>UT-AUTH-07</t>
        </is>
      </c>
      <c r="B101" s="32">
        <f>IF(E101&gt;0,"FAIL",IF(F101&gt;0,"RED",IF(D101&gt;0,"PASS","SKIP")))</f>
        <v/>
      </c>
      <c r="C101" s="23">
        <f>SUM(D101:G101)</f>
        <v/>
      </c>
      <c r="D101" s="23" t="n">
        <v>1</v>
      </c>
      <c r="E101" s="23" t="n">
        <v>0</v>
      </c>
      <c r="F101" s="23" t="n">
        <v>0</v>
      </c>
      <c r="G101" s="23" t="n">
        <v>0</v>
      </c>
      <c r="H101" s="22" t="n"/>
    </row>
    <row r="102">
      <c r="A102" s="22" t="inlineStr">
        <is>
          <t>UT-AUTH-08</t>
        </is>
      </c>
      <c r="B102" s="32">
        <f>IF(E102&gt;0,"FAIL",IF(F102&gt;0,"RED",IF(D102&gt;0,"PASS","SKIP")))</f>
        <v/>
      </c>
      <c r="C102" s="23">
        <f>SUM(D102:G102)</f>
        <v/>
      </c>
      <c r="D102" s="23" t="n">
        <v>1</v>
      </c>
      <c r="E102" s="23" t="n">
        <v>0</v>
      </c>
      <c r="F102" s="23" t="n">
        <v>0</v>
      </c>
      <c r="G102" s="23" t="n">
        <v>0</v>
      </c>
      <c r="H102" s="22" t="n"/>
    </row>
    <row r="103">
      <c r="A103" s="22" t="inlineStr">
        <is>
          <t>UT-AUTH-09</t>
        </is>
      </c>
      <c r="B103" s="32">
        <f>IF(E103&gt;0,"FAIL",IF(F103&gt;0,"RED",IF(D103&gt;0,"PASS","SKIP")))</f>
        <v/>
      </c>
      <c r="C103" s="23">
        <f>SUM(D103:G103)</f>
        <v/>
      </c>
      <c r="D103" s="23" t="n">
        <v>2</v>
      </c>
      <c r="E103" s="23" t="n">
        <v>0</v>
      </c>
      <c r="F103" s="23" t="n">
        <v>0</v>
      </c>
      <c r="G103" s="23" t="n">
        <v>0</v>
      </c>
      <c r="H103" s="22" t="n"/>
    </row>
    <row r="104">
      <c r="A104" s="22" t="inlineStr">
        <is>
          <t>UT-AUTH-10</t>
        </is>
      </c>
      <c r="B104" s="32">
        <f>IF(E104&gt;0,"FAIL",IF(F104&gt;0,"RED",IF(D104&gt;0,"PASS","SKIP")))</f>
        <v/>
      </c>
      <c r="C104" s="23">
        <f>SUM(D104:G104)</f>
        <v/>
      </c>
      <c r="D104" s="23" t="n">
        <v>6</v>
      </c>
      <c r="E104" s="23" t="n">
        <v>0</v>
      </c>
      <c r="F104" s="23" t="n">
        <v>0</v>
      </c>
      <c r="G104" s="23" t="n">
        <v>0</v>
      </c>
      <c r="H104" s="22" t="n"/>
    </row>
    <row r="105">
      <c r="A105" s="22" t="inlineStr">
        <is>
          <t>UT-AUTH-11</t>
        </is>
      </c>
      <c r="B105" s="32">
        <f>IF(E105&gt;0,"FAIL",IF(F105&gt;0,"RED",IF(D105&gt;0,"PASS","SKIP")))</f>
        <v/>
      </c>
      <c r="C105" s="23">
        <f>SUM(D105:G105)</f>
        <v/>
      </c>
      <c r="D105" s="23" t="n">
        <v>1</v>
      </c>
      <c r="E105" s="23" t="n">
        <v>0</v>
      </c>
      <c r="F105" s="23" t="n">
        <v>0</v>
      </c>
      <c r="G105" s="23" t="n">
        <v>0</v>
      </c>
      <c r="H105" s="22" t="n"/>
    </row>
    <row r="106">
      <c r="A106" s="22" t="inlineStr">
        <is>
          <t>UT-AUTH-12</t>
        </is>
      </c>
      <c r="B106" s="32">
        <f>IF(E106&gt;0,"FAIL",IF(F106&gt;0,"RED",IF(D106&gt;0,"PASS","SKIP")))</f>
        <v/>
      </c>
      <c r="C106" s="23">
        <f>SUM(D106:G106)</f>
        <v/>
      </c>
      <c r="D106" s="23" t="n">
        <v>1</v>
      </c>
      <c r="E106" s="23" t="n">
        <v>0</v>
      </c>
      <c r="F106" s="23" t="n">
        <v>0</v>
      </c>
      <c r="G106" s="23" t="n">
        <v>0</v>
      </c>
      <c r="H106" s="22" t="n"/>
    </row>
    <row r="107">
      <c r="A107" s="22" t="inlineStr">
        <is>
          <t>UT-AUTH-13</t>
        </is>
      </c>
      <c r="B107" s="32">
        <f>IF(E107&gt;0,"FAIL",IF(F107&gt;0,"RED",IF(D107&gt;0,"PASS","SKIP")))</f>
        <v/>
      </c>
      <c r="C107" s="23">
        <f>SUM(D107:G107)</f>
        <v/>
      </c>
      <c r="D107" s="23" t="n">
        <v>1</v>
      </c>
      <c r="E107" s="23" t="n">
        <v>0</v>
      </c>
      <c r="F107" s="23" t="n">
        <v>0</v>
      </c>
      <c r="G107" s="23" t="n">
        <v>0</v>
      </c>
      <c r="H107" s="22" t="n"/>
    </row>
    <row r="108">
      <c r="A108" s="22" t="inlineStr">
        <is>
          <t>UT-AUTH-14</t>
        </is>
      </c>
      <c r="B108" s="32">
        <f>IF(E108&gt;0,"FAIL",IF(F108&gt;0,"RED",IF(D108&gt;0,"PASS","SKIP")))</f>
        <v/>
      </c>
      <c r="C108" s="23">
        <f>SUM(D108:G108)</f>
        <v/>
      </c>
      <c r="D108" s="23" t="n">
        <v>4</v>
      </c>
      <c r="E108" s="23" t="n">
        <v>0</v>
      </c>
      <c r="F108" s="23" t="n">
        <v>0</v>
      </c>
      <c r="G108" s="23" t="n">
        <v>0</v>
      </c>
      <c r="H108" s="22" t="n"/>
    </row>
    <row r="109">
      <c r="A109" s="22" t="inlineStr">
        <is>
          <t>UT-AUTH-15</t>
        </is>
      </c>
      <c r="B109" s="32">
        <f>IF(E109&gt;0,"FAIL",IF(F109&gt;0,"RED",IF(D109&gt;0,"PASS","SKIP")))</f>
        <v/>
      </c>
      <c r="C109" s="23">
        <f>SUM(D109:G109)</f>
        <v/>
      </c>
      <c r="D109" s="23" t="n">
        <v>9</v>
      </c>
      <c r="E109" s="23" t="n">
        <v>0</v>
      </c>
      <c r="F109" s="23" t="n">
        <v>0</v>
      </c>
      <c r="G109" s="23" t="n">
        <v>0</v>
      </c>
      <c r="H109" s="22" t="n"/>
    </row>
    <row r="110">
      <c r="A110" s="22" t="inlineStr">
        <is>
          <t>UT-AUTH-16</t>
        </is>
      </c>
      <c r="B110" s="32">
        <f>IF(E110&gt;0,"FAIL",IF(F110&gt;0,"RED",IF(D110&gt;0,"PASS","SKIP")))</f>
        <v/>
      </c>
      <c r="C110" s="23">
        <f>SUM(D110:G110)</f>
        <v/>
      </c>
      <c r="D110" s="23" t="n">
        <v>4</v>
      </c>
      <c r="E110" s="23" t="n">
        <v>0</v>
      </c>
      <c r="F110" s="23" t="n">
        <v>0</v>
      </c>
      <c r="G110" s="23" t="n">
        <v>0</v>
      </c>
      <c r="H110" s="22" t="n"/>
    </row>
    <row r="111">
      <c r="A111" s="22" t="inlineStr">
        <is>
          <t>UT-AUTH-17</t>
        </is>
      </c>
      <c r="B111" s="32">
        <f>IF(E111&gt;0,"FAIL",IF(F111&gt;0,"RED",IF(D111&gt;0,"PASS","SKIP")))</f>
        <v/>
      </c>
      <c r="C111" s="23">
        <f>SUM(D111:G111)</f>
        <v/>
      </c>
      <c r="D111" s="23" t="n">
        <v>5</v>
      </c>
      <c r="E111" s="23" t="n">
        <v>0</v>
      </c>
      <c r="F111" s="23" t="n">
        <v>0</v>
      </c>
      <c r="G111" s="23" t="n">
        <v>0</v>
      </c>
      <c r="H111" s="22" t="n"/>
    </row>
    <row r="112">
      <c r="A112" s="22" t="inlineStr">
        <is>
          <t>UT-AUTH-18</t>
        </is>
      </c>
      <c r="B112" s="32">
        <f>IF(E112&gt;0,"FAIL",IF(F112&gt;0,"RED",IF(D112&gt;0,"PASS","SKIP")))</f>
        <v/>
      </c>
      <c r="C112" s="23">
        <f>SUM(D112:G112)</f>
        <v/>
      </c>
      <c r="D112" s="23" t="n">
        <v>4</v>
      </c>
      <c r="E112" s="23" t="n">
        <v>0</v>
      </c>
      <c r="F112" s="23" t="n">
        <v>0</v>
      </c>
      <c r="G112" s="23" t="n">
        <v>0</v>
      </c>
      <c r="H112" s="22" t="n"/>
    </row>
    <row r="113">
      <c r="A113" s="22" t="inlineStr">
        <is>
          <t>UT-AUTH-19</t>
        </is>
      </c>
      <c r="B113" s="32">
        <f>IF(E113&gt;0,"FAIL",IF(F113&gt;0,"RED",IF(D113&gt;0,"PASS","SKIP")))</f>
        <v/>
      </c>
      <c r="C113" s="23">
        <f>SUM(D113:G113)</f>
        <v/>
      </c>
      <c r="D113" s="23" t="n">
        <v>1</v>
      </c>
      <c r="E113" s="23" t="n">
        <v>0</v>
      </c>
      <c r="F113" s="23" t="n">
        <v>0</v>
      </c>
      <c r="G113" s="23" t="n">
        <v>0</v>
      </c>
      <c r="H113" s="22" t="n"/>
    </row>
    <row r="114">
      <c r="A114" s="22" t="inlineStr">
        <is>
          <t>UT-AUTH-20</t>
        </is>
      </c>
      <c r="B114" s="32">
        <f>IF(E114&gt;0,"FAIL",IF(F114&gt;0,"RED",IF(D114&gt;0,"PASS","SKIP")))</f>
        <v/>
      </c>
      <c r="C114" s="23">
        <f>SUM(D114:G114)</f>
        <v/>
      </c>
      <c r="D114" s="23" t="n">
        <v>1</v>
      </c>
      <c r="E114" s="23" t="n">
        <v>0</v>
      </c>
      <c r="F114" s="23" t="n">
        <v>0</v>
      </c>
      <c r="G114" s="23" t="n">
        <v>0</v>
      </c>
      <c r="H114" s="22" t="n"/>
    </row>
    <row r="115">
      <c r="A115" s="22" t="inlineStr">
        <is>
          <t>UT-AUTH-21</t>
        </is>
      </c>
      <c r="B115" s="32">
        <f>IF(E115&gt;0,"FAIL",IF(F115&gt;0,"RED",IF(D115&gt;0,"PASS","SKIP")))</f>
        <v/>
      </c>
      <c r="C115" s="23">
        <f>SUM(D115:G115)</f>
        <v/>
      </c>
      <c r="D115" s="23" t="n">
        <v>1</v>
      </c>
      <c r="E115" s="23" t="n">
        <v>0</v>
      </c>
      <c r="F115" s="23" t="n">
        <v>0</v>
      </c>
      <c r="G115" s="23" t="n">
        <v>0</v>
      </c>
      <c r="H115" s="22" t="n"/>
    </row>
    <row r="116">
      <c r="A116" s="22" t="inlineStr">
        <is>
          <t>UT-AUTH-22</t>
        </is>
      </c>
      <c r="B116" s="32">
        <f>IF(E116&gt;0,"FAIL",IF(F116&gt;0,"RED",IF(D116&gt;0,"PASS","SKIP")))</f>
        <v/>
      </c>
      <c r="C116" s="23">
        <f>SUM(D116:G116)</f>
        <v/>
      </c>
      <c r="D116" s="23" t="n">
        <v>1</v>
      </c>
      <c r="E116" s="23" t="n">
        <v>0</v>
      </c>
      <c r="F116" s="23" t="n">
        <v>0</v>
      </c>
      <c r="G116" s="23" t="n">
        <v>0</v>
      </c>
      <c r="H116" s="22" t="n"/>
    </row>
    <row r="117">
      <c r="A117" s="22" t="inlineStr">
        <is>
          <t>UT-AUTH-23</t>
        </is>
      </c>
      <c r="B117" s="32">
        <f>IF(E117&gt;0,"FAIL",IF(F117&gt;0,"RED",IF(D117&gt;0,"PASS","SKIP")))</f>
        <v/>
      </c>
      <c r="C117" s="23">
        <f>SUM(D117:G117)</f>
        <v/>
      </c>
      <c r="D117" s="23" t="n">
        <v>5</v>
      </c>
      <c r="E117" s="23" t="n">
        <v>0</v>
      </c>
      <c r="F117" s="23" t="n">
        <v>0</v>
      </c>
      <c r="G117" s="23" t="n">
        <v>0</v>
      </c>
      <c r="H117" s="22" t="n"/>
    </row>
    <row r="118">
      <c r="A118" s="22" t="inlineStr">
        <is>
          <t>UT-AUTH-24</t>
        </is>
      </c>
      <c r="B118" s="32">
        <f>IF(E118&gt;0,"FAIL",IF(F118&gt;0,"RED",IF(D118&gt;0,"PASS","SKIP")))</f>
        <v/>
      </c>
      <c r="C118" s="23">
        <f>SUM(D118:G118)</f>
        <v/>
      </c>
      <c r="D118" s="23" t="n">
        <v>1</v>
      </c>
      <c r="E118" s="23" t="n">
        <v>0</v>
      </c>
      <c r="F118" s="23" t="n">
        <v>0</v>
      </c>
      <c r="G118" s="23" t="n">
        <v>0</v>
      </c>
      <c r="H118" s="22" t="n"/>
    </row>
    <row r="119">
      <c r="A119" s="22" t="inlineStr">
        <is>
          <t>UT-CAVP-01</t>
        </is>
      </c>
      <c r="B119" s="32">
        <f>IF(E119&gt;0,"FAIL",IF(F119&gt;0,"RED",IF(D119&gt;0,"PASS","SKIP")))</f>
        <v/>
      </c>
      <c r="C119" s="23">
        <f>SUM(D119:G119)</f>
        <v/>
      </c>
      <c r="D119" s="23" t="n">
        <v>1</v>
      </c>
      <c r="E119" s="23" t="n">
        <v>0</v>
      </c>
      <c r="F119" s="23" t="n">
        <v>0</v>
      </c>
      <c r="G119" s="23" t="n">
        <v>0</v>
      </c>
      <c r="H119" s="22" t="n"/>
    </row>
    <row r="120">
      <c r="A120" s="22" t="inlineStr">
        <is>
          <t>UT-CAVP-02</t>
        </is>
      </c>
      <c r="B120" s="32">
        <f>IF(E120&gt;0,"FAIL",IF(F120&gt;0,"RED",IF(D120&gt;0,"PASS","SKIP")))</f>
        <v/>
      </c>
      <c r="C120" s="23">
        <f>SUM(D120:G120)</f>
        <v/>
      </c>
      <c r="D120" s="23" t="n">
        <v>7</v>
      </c>
      <c r="E120" s="23" t="n">
        <v>0</v>
      </c>
      <c r="F120" s="23" t="n">
        <v>0</v>
      </c>
      <c r="G120" s="23" t="n">
        <v>0</v>
      </c>
      <c r="H120" s="22" t="n"/>
    </row>
    <row r="121">
      <c r="A121" s="22" t="inlineStr">
        <is>
          <t>UT-CAVP-03</t>
        </is>
      </c>
      <c r="B121" s="32">
        <f>IF(E121&gt;0,"FAIL",IF(F121&gt;0,"RED",IF(D121&gt;0,"PASS","SKIP")))</f>
        <v/>
      </c>
      <c r="C121" s="23">
        <f>SUM(D121:G121)</f>
        <v/>
      </c>
      <c r="D121" s="23" t="n">
        <v>6</v>
      </c>
      <c r="E121" s="23" t="n">
        <v>0</v>
      </c>
      <c r="F121" s="23" t="n">
        <v>0</v>
      </c>
      <c r="G121" s="23" t="n">
        <v>0</v>
      </c>
      <c r="H121" s="22" t="n"/>
    </row>
    <row r="122">
      <c r="A122" s="22" t="inlineStr">
        <is>
          <t>UT-CAVP-04</t>
        </is>
      </c>
      <c r="B122" s="32">
        <f>IF(E122&gt;0,"FAIL",IF(F122&gt;0,"RED",IF(D122&gt;0,"PASS","SKIP")))</f>
        <v/>
      </c>
      <c r="C122" s="23">
        <f>SUM(D122:G122)</f>
        <v/>
      </c>
      <c r="D122" s="23" t="n">
        <v>1</v>
      </c>
      <c r="E122" s="23" t="n">
        <v>0</v>
      </c>
      <c r="F122" s="23" t="n">
        <v>0</v>
      </c>
      <c r="G122" s="23" t="n">
        <v>0</v>
      </c>
      <c r="H122" s="22" t="n"/>
    </row>
    <row r="123">
      <c r="A123" s="22" t="inlineStr">
        <is>
          <t>UT-CAVP-05</t>
        </is>
      </c>
      <c r="B123" s="32">
        <f>IF(E123&gt;0,"FAIL",IF(F123&gt;0,"RED",IF(D123&gt;0,"PASS","SKIP")))</f>
        <v/>
      </c>
      <c r="C123" s="23">
        <f>SUM(D123:G123)</f>
        <v/>
      </c>
      <c r="D123" s="23" t="n">
        <v>2</v>
      </c>
      <c r="E123" s="23" t="n">
        <v>0</v>
      </c>
      <c r="F123" s="23" t="n">
        <v>0</v>
      </c>
      <c r="G123" s="23" t="n">
        <v>0</v>
      </c>
      <c r="H123" s="22" t="n"/>
    </row>
    <row r="124">
      <c r="A124" s="22" t="inlineStr">
        <is>
          <t>UT-CAVP-06</t>
        </is>
      </c>
      <c r="B124" s="32">
        <f>IF(E124&gt;0,"FAIL",IF(F124&gt;0,"RED",IF(D124&gt;0,"PASS","SKIP")))</f>
        <v/>
      </c>
      <c r="C124" s="23">
        <f>SUM(D124:G124)</f>
        <v/>
      </c>
      <c r="D124" s="23" t="n">
        <v>2</v>
      </c>
      <c r="E124" s="23" t="n">
        <v>0</v>
      </c>
      <c r="F124" s="23" t="n">
        <v>0</v>
      </c>
      <c r="G124" s="23" t="n">
        <v>0</v>
      </c>
      <c r="H124" s="22" t="n"/>
    </row>
    <row r="125">
      <c r="A125" s="22" t="inlineStr">
        <is>
          <t>UT-CAVP-07</t>
        </is>
      </c>
      <c r="B125" s="32">
        <f>IF(E125&gt;0,"FAIL",IF(F125&gt;0,"RED",IF(D125&gt;0,"PASS","SKIP")))</f>
        <v/>
      </c>
      <c r="C125" s="23">
        <f>SUM(D125:G125)</f>
        <v/>
      </c>
      <c r="D125" s="23" t="n">
        <v>3</v>
      </c>
      <c r="E125" s="23" t="n">
        <v>0</v>
      </c>
      <c r="F125" s="23" t="n">
        <v>0</v>
      </c>
      <c r="G125" s="23" t="n">
        <v>0</v>
      </c>
      <c r="H125" s="22" t="n"/>
    </row>
    <row r="126">
      <c r="A126" s="22" t="inlineStr">
        <is>
          <t>UT-CAVP-08</t>
        </is>
      </c>
      <c r="B126" s="32">
        <f>IF(E126&gt;0,"FAIL",IF(F126&gt;0,"RED",IF(D126&gt;0,"PASS","SKIP")))</f>
        <v/>
      </c>
      <c r="C126" s="23">
        <f>SUM(D126:G126)</f>
        <v/>
      </c>
      <c r="D126" s="23" t="n">
        <v>13</v>
      </c>
      <c r="E126" s="23" t="n">
        <v>0</v>
      </c>
      <c r="F126" s="23" t="n">
        <v>0</v>
      </c>
      <c r="G126" s="23" t="n">
        <v>3</v>
      </c>
      <c r="H126" s="22" t="n"/>
    </row>
    <row r="127">
      <c r="A127" s="22" t="inlineStr">
        <is>
          <t>UT-CAVP-09</t>
        </is>
      </c>
      <c r="B127" s="32">
        <f>IF(E127&gt;0,"FAIL",IF(F127&gt;0,"RED",IF(D127&gt;0,"PASS","SKIP")))</f>
        <v/>
      </c>
      <c r="C127" s="23">
        <f>SUM(D127:G127)</f>
        <v/>
      </c>
      <c r="D127" s="23" t="n">
        <v>4</v>
      </c>
      <c r="E127" s="23" t="n">
        <v>0</v>
      </c>
      <c r="F127" s="23" t="n">
        <v>0</v>
      </c>
      <c r="G127" s="23" t="n">
        <v>0</v>
      </c>
      <c r="H127" s="22" t="n"/>
    </row>
    <row r="128">
      <c r="A128" s="22" t="inlineStr">
        <is>
          <t>UT-CAVP-10</t>
        </is>
      </c>
      <c r="B128" s="32">
        <f>IF(E128&gt;0,"FAIL",IF(F128&gt;0,"RED",IF(D128&gt;0,"PASS","SKIP")))</f>
        <v/>
      </c>
      <c r="C128" s="23">
        <f>SUM(D128:G128)</f>
        <v/>
      </c>
      <c r="D128" s="23" t="n">
        <v>1</v>
      </c>
      <c r="E128" s="23" t="n">
        <v>0</v>
      </c>
      <c r="F128" s="23" t="n">
        <v>0</v>
      </c>
      <c r="G128" s="23" t="n">
        <v>0</v>
      </c>
      <c r="H128" s="22" t="n"/>
    </row>
    <row r="129">
      <c r="A129" s="22" t="inlineStr">
        <is>
          <t>UT-CAVP-11</t>
        </is>
      </c>
      <c r="B129" s="32">
        <f>IF(E129&gt;0,"FAIL",IF(F129&gt;0,"RED",IF(D129&gt;0,"PASS","SKIP")))</f>
        <v/>
      </c>
      <c r="C129" s="23">
        <f>SUM(D129:G129)</f>
        <v/>
      </c>
      <c r="D129" s="23" t="n">
        <v>2</v>
      </c>
      <c r="E129" s="23" t="n">
        <v>0</v>
      </c>
      <c r="F129" s="23" t="n">
        <v>0</v>
      </c>
      <c r="G129" s="23" t="n">
        <v>0</v>
      </c>
      <c r="H129" s="22" t="n"/>
    </row>
    <row r="130">
      <c r="A130" s="22" t="inlineStr">
        <is>
          <t>UT-CAVP-12</t>
        </is>
      </c>
      <c r="B130" s="32">
        <f>IF(E130&gt;0,"FAIL",IF(F130&gt;0,"RED",IF(D130&gt;0,"PASS","SKIP")))</f>
        <v/>
      </c>
      <c r="C130" s="23">
        <f>SUM(D130:G130)</f>
        <v/>
      </c>
      <c r="D130" s="23" t="n">
        <v>1</v>
      </c>
      <c r="E130" s="23" t="n">
        <v>0</v>
      </c>
      <c r="F130" s="23" t="n">
        <v>0</v>
      </c>
      <c r="G130" s="23" t="n">
        <v>0</v>
      </c>
      <c r="H130" s="22" t="n"/>
    </row>
    <row r="131">
      <c r="A131" s="22" t="inlineStr">
        <is>
          <t>UT-CAVP-13</t>
        </is>
      </c>
      <c r="B131" s="32">
        <f>IF(E131&gt;0,"FAIL",IF(F131&gt;0,"RED",IF(D131&gt;0,"PASS","SKIP")))</f>
        <v/>
      </c>
      <c r="C131" s="23">
        <f>SUM(D131:G131)</f>
        <v/>
      </c>
      <c r="D131" s="23" t="n">
        <v>1</v>
      </c>
      <c r="E131" s="23" t="n">
        <v>0</v>
      </c>
      <c r="F131" s="23" t="n">
        <v>0</v>
      </c>
      <c r="G131" s="23" t="n">
        <v>0</v>
      </c>
      <c r="H131" s="22" t="n"/>
    </row>
    <row r="132">
      <c r="A132" s="22" t="inlineStr">
        <is>
          <t>UT-CAVP-14</t>
        </is>
      </c>
      <c r="B132" s="32">
        <f>IF(E132&gt;0,"FAIL",IF(F132&gt;0,"RED",IF(D132&gt;0,"PASS","SKIP")))</f>
        <v/>
      </c>
      <c r="C132" s="23">
        <f>SUM(D132:G132)</f>
        <v/>
      </c>
      <c r="D132" s="23" t="n">
        <v>1</v>
      </c>
      <c r="E132" s="23" t="n">
        <v>0</v>
      </c>
      <c r="F132" s="23" t="n">
        <v>0</v>
      </c>
      <c r="G132" s="23" t="n">
        <v>0</v>
      </c>
      <c r="H132" s="22" t="n"/>
    </row>
    <row r="133">
      <c r="A133" s="22" t="inlineStr">
        <is>
          <t>UT-CAVP-15</t>
        </is>
      </c>
      <c r="B133" s="32">
        <f>IF(E133&gt;0,"FAIL",IF(F133&gt;0,"RED",IF(D133&gt;0,"PASS","SKIP")))</f>
        <v/>
      </c>
      <c r="C133" s="23">
        <f>SUM(D133:G133)</f>
        <v/>
      </c>
      <c r="D133" s="23" t="n">
        <v>1</v>
      </c>
      <c r="E133" s="23" t="n">
        <v>0</v>
      </c>
      <c r="F133" s="23" t="n">
        <v>0</v>
      </c>
      <c r="G133" s="23" t="n">
        <v>0</v>
      </c>
      <c r="H133" s="22" t="n"/>
    </row>
    <row r="134">
      <c r="A134" s="22" t="inlineStr">
        <is>
          <t>UT-CAVP-16</t>
        </is>
      </c>
      <c r="B134" s="32">
        <f>IF(E134&gt;0,"FAIL",IF(F134&gt;0,"RED",IF(D134&gt;0,"PASS","SKIP")))</f>
        <v/>
      </c>
      <c r="C134" s="23">
        <f>SUM(D134:G134)</f>
        <v/>
      </c>
      <c r="D134" s="23" t="n">
        <v>1</v>
      </c>
      <c r="E134" s="23" t="n">
        <v>0</v>
      </c>
      <c r="F134" s="23" t="n">
        <v>0</v>
      </c>
      <c r="G134" s="23" t="n">
        <v>0</v>
      </c>
      <c r="H134" s="22" t="n"/>
    </row>
    <row r="135">
      <c r="A135" s="22" t="inlineStr">
        <is>
          <t>UT-CAVP-17</t>
        </is>
      </c>
      <c r="B135" s="32">
        <f>IF(E135&gt;0,"FAIL",IF(F135&gt;0,"RED",IF(D135&gt;0,"PASS","SKIP")))</f>
        <v/>
      </c>
      <c r="C135" s="23">
        <f>SUM(D135:G135)</f>
        <v/>
      </c>
      <c r="D135" s="23" t="n">
        <v>6</v>
      </c>
      <c r="E135" s="23" t="n">
        <v>0</v>
      </c>
      <c r="F135" s="23" t="n">
        <v>0</v>
      </c>
      <c r="G135" s="23" t="n">
        <v>0</v>
      </c>
      <c r="H135" s="22" t="n"/>
    </row>
    <row r="136">
      <c r="A136" s="22" t="inlineStr">
        <is>
          <t>UT-CAVP-18</t>
        </is>
      </c>
      <c r="B136" s="32">
        <f>IF(E136&gt;0,"FAIL",IF(F136&gt;0,"RED",IF(D136&gt;0,"PASS","SKIP")))</f>
        <v/>
      </c>
      <c r="C136" s="23">
        <f>SUM(D136:G136)</f>
        <v/>
      </c>
      <c r="D136" s="23" t="n">
        <v>1</v>
      </c>
      <c r="E136" s="23" t="n">
        <v>0</v>
      </c>
      <c r="F136" s="23" t="n">
        <v>0</v>
      </c>
      <c r="G136" s="23" t="n">
        <v>0</v>
      </c>
      <c r="H136" s="22" t="n"/>
    </row>
    <row r="137">
      <c r="A137" s="22" t="inlineStr">
        <is>
          <t>UT-CAVP-19</t>
        </is>
      </c>
      <c r="B137" s="32">
        <f>IF(E137&gt;0,"FAIL",IF(F137&gt;0,"RED",IF(D137&gt;0,"PASS","SKIP")))</f>
        <v/>
      </c>
      <c r="C137" s="23">
        <f>SUM(D137:G137)</f>
        <v/>
      </c>
      <c r="D137" s="23" t="n">
        <v>1</v>
      </c>
      <c r="E137" s="23" t="n">
        <v>0</v>
      </c>
      <c r="F137" s="23" t="n">
        <v>0</v>
      </c>
      <c r="G137" s="23" t="n">
        <v>0</v>
      </c>
      <c r="H137" s="22" t="n"/>
    </row>
    <row r="138">
      <c r="A138" s="22" t="inlineStr">
        <is>
          <t>UT-CAVP-20</t>
        </is>
      </c>
      <c r="B138" s="32">
        <f>IF(E138&gt;0,"FAIL",IF(F138&gt;0,"RED",IF(D138&gt;0,"PASS","SKIP")))</f>
        <v/>
      </c>
      <c r="C138" s="23">
        <f>SUM(D138:G138)</f>
        <v/>
      </c>
      <c r="D138" s="23" t="n">
        <v>1</v>
      </c>
      <c r="E138" s="23" t="n">
        <v>0</v>
      </c>
      <c r="F138" s="23" t="n">
        <v>0</v>
      </c>
      <c r="G138" s="23" t="n">
        <v>0</v>
      </c>
      <c r="H138" s="22" t="n"/>
    </row>
    <row r="139">
      <c r="A139" s="22" t="inlineStr">
        <is>
          <t>UT-CERT-01</t>
        </is>
      </c>
      <c r="B139" s="32">
        <f>IF(E139&gt;0,"FAIL",IF(F139&gt;0,"RED",IF(D139&gt;0,"PASS","SKIP")))</f>
        <v/>
      </c>
      <c r="C139" s="23">
        <f>SUM(D139:G139)</f>
        <v/>
      </c>
      <c r="D139" s="23" t="n">
        <v>0</v>
      </c>
      <c r="E139" s="23" t="n">
        <v>0</v>
      </c>
      <c r="F139" s="23" t="n">
        <v>1</v>
      </c>
      <c r="G139" s="23" t="n">
        <v>0</v>
      </c>
      <c r="H139" s="22" t="n"/>
    </row>
    <row r="140">
      <c r="A140" s="22" t="inlineStr">
        <is>
          <t>UT-CERT-02</t>
        </is>
      </c>
      <c r="B140" s="32">
        <f>IF(E140&gt;0,"FAIL",IF(F140&gt;0,"RED",IF(D140&gt;0,"PASS","SKIP")))</f>
        <v/>
      </c>
      <c r="C140" s="23">
        <f>SUM(D140:G140)</f>
        <v/>
      </c>
      <c r="D140" s="23" t="n">
        <v>0</v>
      </c>
      <c r="E140" s="23" t="n">
        <v>0</v>
      </c>
      <c r="F140" s="23" t="n">
        <v>1</v>
      </c>
      <c r="G140" s="23" t="n">
        <v>0</v>
      </c>
      <c r="H140" s="22" t="n"/>
    </row>
    <row r="141">
      <c r="A141" s="22" t="inlineStr">
        <is>
          <t>UT-CERT-03</t>
        </is>
      </c>
      <c r="B141" s="32">
        <f>IF(E141&gt;0,"FAIL",IF(F141&gt;0,"RED",IF(D141&gt;0,"PASS","SKIP")))</f>
        <v/>
      </c>
      <c r="C141" s="23">
        <f>SUM(D141:G141)</f>
        <v/>
      </c>
      <c r="D141" s="23" t="n">
        <v>0</v>
      </c>
      <c r="E141" s="23" t="n">
        <v>0</v>
      </c>
      <c r="F141" s="23" t="n">
        <v>1</v>
      </c>
      <c r="G141" s="23" t="n">
        <v>0</v>
      </c>
      <c r="H141" s="22" t="n"/>
    </row>
    <row r="142">
      <c r="A142" s="22" t="inlineStr">
        <is>
          <t>UT-CERT-04</t>
        </is>
      </c>
      <c r="B142" s="32">
        <f>IF(E142&gt;0,"FAIL",IF(F142&gt;0,"RED",IF(D142&gt;0,"PASS","SKIP")))</f>
        <v/>
      </c>
      <c r="C142" s="23">
        <f>SUM(D142:G142)</f>
        <v/>
      </c>
      <c r="D142" s="23" t="n">
        <v>0</v>
      </c>
      <c r="E142" s="23" t="n">
        <v>0</v>
      </c>
      <c r="F142" s="23" t="n">
        <v>1</v>
      </c>
      <c r="G142" s="23" t="n">
        <v>0</v>
      </c>
      <c r="H142" s="22" t="n"/>
    </row>
    <row r="143">
      <c r="A143" s="22" t="inlineStr">
        <is>
          <t>UT-CERT-05</t>
        </is>
      </c>
      <c r="B143" s="32">
        <f>IF(E143&gt;0,"FAIL",IF(F143&gt;0,"RED",IF(D143&gt;0,"PASS","SKIP")))</f>
        <v/>
      </c>
      <c r="C143" s="23">
        <f>SUM(D143:G143)</f>
        <v/>
      </c>
      <c r="D143" s="23" t="n">
        <v>0</v>
      </c>
      <c r="E143" s="23" t="n">
        <v>0</v>
      </c>
      <c r="F143" s="23" t="n">
        <v>1</v>
      </c>
      <c r="G143" s="23" t="n">
        <v>0</v>
      </c>
      <c r="H143" s="22" t="n"/>
    </row>
    <row r="144">
      <c r="A144" s="22" t="inlineStr">
        <is>
          <t>UT-CERT-06</t>
        </is>
      </c>
      <c r="B144" s="32">
        <f>IF(E144&gt;0,"FAIL",IF(F144&gt;0,"RED",IF(D144&gt;0,"PASS","SKIP")))</f>
        <v/>
      </c>
      <c r="C144" s="23">
        <f>SUM(D144:G144)</f>
        <v/>
      </c>
      <c r="D144" s="23" t="n">
        <v>0</v>
      </c>
      <c r="E144" s="23" t="n">
        <v>0</v>
      </c>
      <c r="F144" s="23" t="n">
        <v>1</v>
      </c>
      <c r="G144" s="23" t="n">
        <v>0</v>
      </c>
      <c r="H144" s="22" t="n"/>
    </row>
    <row r="145">
      <c r="A145" s="22" t="inlineStr">
        <is>
          <t>UT-CERT-07</t>
        </is>
      </c>
      <c r="B145" s="32">
        <f>IF(E145&gt;0,"FAIL",IF(F145&gt;0,"RED",IF(D145&gt;0,"PASS","SKIP")))</f>
        <v/>
      </c>
      <c r="C145" s="23">
        <f>SUM(D145:G145)</f>
        <v/>
      </c>
      <c r="D145" s="23" t="n">
        <v>0</v>
      </c>
      <c r="E145" s="23" t="n">
        <v>0</v>
      </c>
      <c r="F145" s="23" t="n">
        <v>3</v>
      </c>
      <c r="G145" s="23" t="n">
        <v>0</v>
      </c>
      <c r="H145" s="22" t="n"/>
    </row>
    <row r="146">
      <c r="A146" s="22" t="inlineStr">
        <is>
          <t>UT-CERT-08</t>
        </is>
      </c>
      <c r="B146" s="32">
        <f>IF(E146&gt;0,"FAIL",IF(F146&gt;0,"RED",IF(D146&gt;0,"PASS","SKIP")))</f>
        <v/>
      </c>
      <c r="C146" s="23">
        <f>SUM(D146:G146)</f>
        <v/>
      </c>
      <c r="D146" s="23" t="n">
        <v>0</v>
      </c>
      <c r="E146" s="23" t="n">
        <v>0</v>
      </c>
      <c r="F146" s="23" t="n">
        <v>1</v>
      </c>
      <c r="G146" s="23" t="n">
        <v>0</v>
      </c>
      <c r="H146" s="22" t="n"/>
    </row>
    <row r="147">
      <c r="A147" s="22" t="inlineStr">
        <is>
          <t>UT-CERT-09</t>
        </is>
      </c>
      <c r="B147" s="32">
        <f>IF(E147&gt;0,"FAIL",IF(F147&gt;0,"RED",IF(D147&gt;0,"PASS","SKIP")))</f>
        <v/>
      </c>
      <c r="C147" s="23">
        <f>SUM(D147:G147)</f>
        <v/>
      </c>
      <c r="D147" s="23" t="n">
        <v>0</v>
      </c>
      <c r="E147" s="23" t="n">
        <v>0</v>
      </c>
      <c r="F147" s="23" t="n">
        <v>2</v>
      </c>
      <c r="G147" s="23" t="n">
        <v>0</v>
      </c>
      <c r="H147" s="22" t="n"/>
    </row>
    <row r="148">
      <c r="A148" s="22" t="inlineStr">
        <is>
          <t>UT-CERT-10</t>
        </is>
      </c>
      <c r="B148" s="32">
        <f>IF(E148&gt;0,"FAIL",IF(F148&gt;0,"RED",IF(D148&gt;0,"PASS","SKIP")))</f>
        <v/>
      </c>
      <c r="C148" s="23">
        <f>SUM(D148:G148)</f>
        <v/>
      </c>
      <c r="D148" s="23" t="n">
        <v>0</v>
      </c>
      <c r="E148" s="23" t="n">
        <v>0</v>
      </c>
      <c r="F148" s="23" t="n">
        <v>1</v>
      </c>
      <c r="G148" s="23" t="n">
        <v>0</v>
      </c>
      <c r="H148" s="22" t="n"/>
    </row>
    <row r="149">
      <c r="A149" s="22" t="inlineStr">
        <is>
          <t>UT-CERT-11</t>
        </is>
      </c>
      <c r="B149" s="32">
        <f>IF(E149&gt;0,"FAIL",IF(F149&gt;0,"RED",IF(D149&gt;0,"PASS","SKIP")))</f>
        <v/>
      </c>
      <c r="C149" s="23">
        <f>SUM(D149:G149)</f>
        <v/>
      </c>
      <c r="D149" s="23" t="n">
        <v>0</v>
      </c>
      <c r="E149" s="23" t="n">
        <v>0</v>
      </c>
      <c r="F149" s="23" t="n">
        <v>1</v>
      </c>
      <c r="G149" s="23" t="n">
        <v>0</v>
      </c>
      <c r="H149" s="22" t="n"/>
    </row>
    <row r="150">
      <c r="A150" s="22" t="inlineStr">
        <is>
          <t>UT-CERT-12</t>
        </is>
      </c>
      <c r="B150" s="32">
        <f>IF(E150&gt;0,"FAIL",IF(F150&gt;0,"RED",IF(D150&gt;0,"PASS","SKIP")))</f>
        <v/>
      </c>
      <c r="C150" s="23">
        <f>SUM(D150:G150)</f>
        <v/>
      </c>
      <c r="D150" s="23" t="n">
        <v>0</v>
      </c>
      <c r="E150" s="23" t="n">
        <v>0</v>
      </c>
      <c r="F150" s="23" t="n">
        <v>1</v>
      </c>
      <c r="G150" s="23" t="n">
        <v>0</v>
      </c>
      <c r="H150" s="22" t="n"/>
    </row>
    <row r="151">
      <c r="A151" s="22" t="inlineStr">
        <is>
          <t>UT-CERT-13</t>
        </is>
      </c>
      <c r="B151" s="32">
        <f>IF(E151&gt;0,"FAIL",IF(F151&gt;0,"RED",IF(D151&gt;0,"PASS","SKIP")))</f>
        <v/>
      </c>
      <c r="C151" s="23">
        <f>SUM(D151:G151)</f>
        <v/>
      </c>
      <c r="D151" s="23" t="n">
        <v>0</v>
      </c>
      <c r="E151" s="23" t="n">
        <v>0</v>
      </c>
      <c r="F151" s="23" t="n">
        <v>1</v>
      </c>
      <c r="G151" s="23" t="n">
        <v>0</v>
      </c>
      <c r="H151" s="22" t="n"/>
    </row>
    <row r="152">
      <c r="A152" s="22" t="inlineStr">
        <is>
          <t>UT-CERT-14</t>
        </is>
      </c>
      <c r="B152" s="32">
        <f>IF(E152&gt;0,"FAIL",IF(F152&gt;0,"RED",IF(D152&gt;0,"PASS","SKIP")))</f>
        <v/>
      </c>
      <c r="C152" s="23">
        <f>SUM(D152:G152)</f>
        <v/>
      </c>
      <c r="D152" s="23" t="n">
        <v>0</v>
      </c>
      <c r="E152" s="23" t="n">
        <v>0</v>
      </c>
      <c r="F152" s="23" t="n">
        <v>1</v>
      </c>
      <c r="G152" s="23" t="n">
        <v>0</v>
      </c>
      <c r="H152" s="22" t="n"/>
    </row>
    <row r="153">
      <c r="A153" s="22" t="inlineStr">
        <is>
          <t>UT-CERT-15</t>
        </is>
      </c>
      <c r="B153" s="32">
        <f>IF(E153&gt;0,"FAIL",IF(F153&gt;0,"RED",IF(D153&gt;0,"PASS","SKIP")))</f>
        <v/>
      </c>
      <c r="C153" s="23">
        <f>SUM(D153:G153)</f>
        <v/>
      </c>
      <c r="D153" s="23" t="n">
        <v>0</v>
      </c>
      <c r="E153" s="23" t="n">
        <v>0</v>
      </c>
      <c r="F153" s="23" t="n">
        <v>1</v>
      </c>
      <c r="G153" s="23" t="n">
        <v>0</v>
      </c>
      <c r="H153" s="22" t="n"/>
    </row>
    <row r="154">
      <c r="A154" s="22" t="inlineStr">
        <is>
          <t>UT-CERT-16</t>
        </is>
      </c>
      <c r="B154" s="32">
        <f>IF(E154&gt;0,"FAIL",IF(F154&gt;0,"RED",IF(D154&gt;0,"PASS","SKIP")))</f>
        <v/>
      </c>
      <c r="C154" s="23">
        <f>SUM(D154:G154)</f>
        <v/>
      </c>
      <c r="D154" s="23" t="n">
        <v>0</v>
      </c>
      <c r="E154" s="23" t="n">
        <v>0</v>
      </c>
      <c r="F154" s="23" t="n">
        <v>1</v>
      </c>
      <c r="G154" s="23" t="n">
        <v>0</v>
      </c>
      <c r="H154" s="22" t="n"/>
    </row>
    <row r="155">
      <c r="A155" s="22" t="inlineStr">
        <is>
          <t>UT-CERT-17</t>
        </is>
      </c>
      <c r="B155" s="32">
        <f>IF(E155&gt;0,"FAIL",IF(F155&gt;0,"RED",IF(D155&gt;0,"PASS","SKIP")))</f>
        <v/>
      </c>
      <c r="C155" s="23">
        <f>SUM(D155:G155)</f>
        <v/>
      </c>
      <c r="D155" s="23" t="n">
        <v>0</v>
      </c>
      <c r="E155" s="23" t="n">
        <v>0</v>
      </c>
      <c r="F155" s="23" t="n">
        <v>1</v>
      </c>
      <c r="G155" s="23" t="n">
        <v>0</v>
      </c>
      <c r="H155" s="22" t="n"/>
    </row>
    <row r="156">
      <c r="A156" s="22" t="inlineStr">
        <is>
          <t>UT-CERT-18</t>
        </is>
      </c>
      <c r="B156" s="32">
        <f>IF(E156&gt;0,"FAIL",IF(F156&gt;0,"RED",IF(D156&gt;0,"PASS","SKIP")))</f>
        <v/>
      </c>
      <c r="C156" s="23">
        <f>SUM(D156:G156)</f>
        <v/>
      </c>
      <c r="D156" s="23" t="n">
        <v>0</v>
      </c>
      <c r="E156" s="23" t="n">
        <v>0</v>
      </c>
      <c r="F156" s="23" t="n">
        <v>1</v>
      </c>
      <c r="G156" s="23" t="n">
        <v>0</v>
      </c>
      <c r="H156" s="22" t="n"/>
    </row>
    <row r="157">
      <c r="A157" s="22" t="inlineStr">
        <is>
          <t>UT-CERT-19</t>
        </is>
      </c>
      <c r="B157" s="32">
        <f>IF(E157&gt;0,"FAIL",IF(F157&gt;0,"RED",IF(D157&gt;0,"PASS","SKIP")))</f>
        <v/>
      </c>
      <c r="C157" s="23">
        <f>SUM(D157:G157)</f>
        <v/>
      </c>
      <c r="D157" s="23" t="n">
        <v>0</v>
      </c>
      <c r="E157" s="23" t="n">
        <v>0</v>
      </c>
      <c r="F157" s="23" t="n">
        <v>1</v>
      </c>
      <c r="G157" s="23" t="n">
        <v>0</v>
      </c>
      <c r="H157" s="22" t="n"/>
    </row>
    <row r="158">
      <c r="A158" s="22" t="inlineStr">
        <is>
          <t>UT-CERT-20</t>
        </is>
      </c>
      <c r="B158" s="32">
        <f>IF(E158&gt;0,"FAIL",IF(F158&gt;0,"RED",IF(D158&gt;0,"PASS","SKIP")))</f>
        <v/>
      </c>
      <c r="C158" s="23">
        <f>SUM(D158:G158)</f>
        <v/>
      </c>
      <c r="D158" s="23" t="n">
        <v>0</v>
      </c>
      <c r="E158" s="23" t="n">
        <v>0</v>
      </c>
      <c r="F158" s="23" t="n">
        <v>1</v>
      </c>
      <c r="G158" s="23" t="n">
        <v>0</v>
      </c>
      <c r="H158" s="22" t="n"/>
    </row>
    <row r="159">
      <c r="A159" s="22" t="inlineStr">
        <is>
          <t>UT-CERT-21</t>
        </is>
      </c>
      <c r="B159" s="32">
        <f>IF(E159&gt;0,"FAIL",IF(F159&gt;0,"RED",IF(D159&gt;0,"PASS","SKIP")))</f>
        <v/>
      </c>
      <c r="C159" s="23">
        <f>SUM(D159:G159)</f>
        <v/>
      </c>
      <c r="D159" s="23" t="n">
        <v>0</v>
      </c>
      <c r="E159" s="23" t="n">
        <v>0</v>
      </c>
      <c r="F159" s="23" t="n">
        <v>1</v>
      </c>
      <c r="G159" s="23" t="n">
        <v>0</v>
      </c>
      <c r="H159" s="22" t="n"/>
    </row>
    <row r="160">
      <c r="A160" s="22" t="inlineStr">
        <is>
          <t>UT-DASH-01</t>
        </is>
      </c>
      <c r="B160" s="32">
        <f>IF(E160&gt;0,"FAIL",IF(F160&gt;0,"RED",IF(D160&gt;0,"PASS","SKIP")))</f>
        <v/>
      </c>
      <c r="C160" s="23">
        <f>SUM(D160:G160)</f>
        <v/>
      </c>
      <c r="D160" s="23" t="n">
        <v>1</v>
      </c>
      <c r="E160" s="23" t="n">
        <v>0</v>
      </c>
      <c r="F160" s="23" t="n">
        <v>0</v>
      </c>
      <c r="G160" s="23" t="n">
        <v>0</v>
      </c>
      <c r="H160" s="22" t="n"/>
    </row>
    <row r="161">
      <c r="A161" s="22" t="inlineStr">
        <is>
          <t>UT-DASH-02</t>
        </is>
      </c>
      <c r="B161" s="32">
        <f>IF(E161&gt;0,"FAIL",IF(F161&gt;0,"RED",IF(D161&gt;0,"PASS","SKIP")))</f>
        <v/>
      </c>
      <c r="C161" s="23">
        <f>SUM(D161:G161)</f>
        <v/>
      </c>
      <c r="D161" s="23" t="n">
        <v>1</v>
      </c>
      <c r="E161" s="23" t="n">
        <v>0</v>
      </c>
      <c r="F161" s="23" t="n">
        <v>0</v>
      </c>
      <c r="G161" s="23" t="n">
        <v>0</v>
      </c>
      <c r="H161" s="22" t="n"/>
    </row>
    <row r="162">
      <c r="A162" s="22" t="inlineStr">
        <is>
          <t>UT-DASH-03</t>
        </is>
      </c>
      <c r="B162" s="32">
        <f>IF(E162&gt;0,"FAIL",IF(F162&gt;0,"RED",IF(D162&gt;0,"PASS","SKIP")))</f>
        <v/>
      </c>
      <c r="C162" s="23">
        <f>SUM(D162:G162)</f>
        <v/>
      </c>
      <c r="D162" s="23" t="n">
        <v>1</v>
      </c>
      <c r="E162" s="23" t="n">
        <v>0</v>
      </c>
      <c r="F162" s="23" t="n">
        <v>0</v>
      </c>
      <c r="G162" s="23" t="n">
        <v>0</v>
      </c>
      <c r="H162" s="22" t="n"/>
    </row>
    <row r="163">
      <c r="A163" s="22" t="inlineStr">
        <is>
          <t>UT-DASH-04</t>
        </is>
      </c>
      <c r="B163" s="32">
        <f>IF(E163&gt;0,"FAIL",IF(F163&gt;0,"RED",IF(D163&gt;0,"PASS","SKIP")))</f>
        <v/>
      </c>
      <c r="C163" s="23">
        <f>SUM(D163:G163)</f>
        <v/>
      </c>
      <c r="D163" s="23" t="n">
        <v>1</v>
      </c>
      <c r="E163" s="23" t="n">
        <v>0</v>
      </c>
      <c r="F163" s="23" t="n">
        <v>0</v>
      </c>
      <c r="G163" s="23" t="n">
        <v>0</v>
      </c>
      <c r="H163" s="22" t="n"/>
    </row>
    <row r="164">
      <c r="A164" s="22" t="inlineStr">
        <is>
          <t>UT-DASH-05</t>
        </is>
      </c>
      <c r="B164" s="32">
        <f>IF(E164&gt;0,"FAIL",IF(F164&gt;0,"RED",IF(D164&gt;0,"PASS","SKIP")))</f>
        <v/>
      </c>
      <c r="C164" s="23">
        <f>SUM(D164:G164)</f>
        <v/>
      </c>
      <c r="D164" s="23" t="n">
        <v>4</v>
      </c>
      <c r="E164" s="23" t="n">
        <v>0</v>
      </c>
      <c r="F164" s="23" t="n">
        <v>0</v>
      </c>
      <c r="G164" s="23" t="n">
        <v>0</v>
      </c>
      <c r="H164" s="22" t="n"/>
    </row>
    <row r="165">
      <c r="A165" s="22" t="inlineStr">
        <is>
          <t>UT-DASH-06</t>
        </is>
      </c>
      <c r="B165" s="32">
        <f>IF(E165&gt;0,"FAIL",IF(F165&gt;0,"RED",IF(D165&gt;0,"PASS","SKIP")))</f>
        <v/>
      </c>
      <c r="C165" s="23">
        <f>SUM(D165:G165)</f>
        <v/>
      </c>
      <c r="D165" s="23" t="n">
        <v>1</v>
      </c>
      <c r="E165" s="23" t="n">
        <v>0</v>
      </c>
      <c r="F165" s="23" t="n">
        <v>0</v>
      </c>
      <c r="G165" s="23" t="n">
        <v>0</v>
      </c>
      <c r="H165" s="22" t="n"/>
    </row>
    <row r="166">
      <c r="A166" s="22" t="inlineStr">
        <is>
          <t>UT-DASH-07</t>
        </is>
      </c>
      <c r="B166" s="32">
        <f>IF(E166&gt;0,"FAIL",IF(F166&gt;0,"RED",IF(D166&gt;0,"PASS","SKIP")))</f>
        <v/>
      </c>
      <c r="C166" s="23">
        <f>SUM(D166:G166)</f>
        <v/>
      </c>
      <c r="D166" s="23" t="n">
        <v>1</v>
      </c>
      <c r="E166" s="23" t="n">
        <v>0</v>
      </c>
      <c r="F166" s="23" t="n">
        <v>0</v>
      </c>
      <c r="G166" s="23" t="n">
        <v>0</v>
      </c>
      <c r="H166" s="22" t="n"/>
    </row>
    <row r="167">
      <c r="A167" s="22" t="inlineStr">
        <is>
          <t>UT-DASH-08</t>
        </is>
      </c>
      <c r="B167" s="32">
        <f>IF(E167&gt;0,"FAIL",IF(F167&gt;0,"RED",IF(D167&gt;0,"PASS","SKIP")))</f>
        <v/>
      </c>
      <c r="C167" s="23">
        <f>SUM(D167:G167)</f>
        <v/>
      </c>
      <c r="D167" s="23" t="n">
        <v>2</v>
      </c>
      <c r="E167" s="23" t="n">
        <v>0</v>
      </c>
      <c r="F167" s="23" t="n">
        <v>0</v>
      </c>
      <c r="G167" s="23" t="n">
        <v>0</v>
      </c>
      <c r="H167" s="22" t="n"/>
    </row>
    <row r="168">
      <c r="A168" s="22" t="inlineStr">
        <is>
          <t>UT-DASH-09</t>
        </is>
      </c>
      <c r="B168" s="32">
        <f>IF(E168&gt;0,"FAIL",IF(F168&gt;0,"RED",IF(D168&gt;0,"PASS","SKIP")))</f>
        <v/>
      </c>
      <c r="C168" s="23">
        <f>SUM(D168:G168)</f>
        <v/>
      </c>
      <c r="D168" s="23" t="n">
        <v>1</v>
      </c>
      <c r="E168" s="23" t="n">
        <v>0</v>
      </c>
      <c r="F168" s="23" t="n">
        <v>0</v>
      </c>
      <c r="G168" s="23" t="n">
        <v>0</v>
      </c>
      <c r="H168" s="22" t="n"/>
    </row>
    <row r="169">
      <c r="A169" s="22" t="inlineStr">
        <is>
          <t>UT-DASH-10</t>
        </is>
      </c>
      <c r="B169" s="32">
        <f>IF(E169&gt;0,"FAIL",IF(F169&gt;0,"RED",IF(D169&gt;0,"PASS","SKIP")))</f>
        <v/>
      </c>
      <c r="C169" s="23">
        <f>SUM(D169:G169)</f>
        <v/>
      </c>
      <c r="D169" s="23" t="n">
        <v>1</v>
      </c>
      <c r="E169" s="23" t="n">
        <v>0</v>
      </c>
      <c r="F169" s="23" t="n">
        <v>0</v>
      </c>
      <c r="G169" s="23" t="n">
        <v>0</v>
      </c>
      <c r="H169" s="22" t="n"/>
    </row>
    <row r="170">
      <c r="A170" s="22" t="inlineStr">
        <is>
          <t>UT-DASH-11</t>
        </is>
      </c>
      <c r="B170" s="32">
        <f>IF(E170&gt;0,"FAIL",IF(F170&gt;0,"RED",IF(D170&gt;0,"PASS","SKIP")))</f>
        <v/>
      </c>
      <c r="C170" s="23">
        <f>SUM(D170:G170)</f>
        <v/>
      </c>
      <c r="D170" s="23" t="n">
        <v>1</v>
      </c>
      <c r="E170" s="23" t="n">
        <v>0</v>
      </c>
      <c r="F170" s="23" t="n">
        <v>0</v>
      </c>
      <c r="G170" s="23" t="n">
        <v>0</v>
      </c>
      <c r="H170" s="22" t="n"/>
    </row>
    <row r="171">
      <c r="A171" s="22" t="inlineStr">
        <is>
          <t>UT-DASH-12</t>
        </is>
      </c>
      <c r="B171" s="32">
        <f>IF(E171&gt;0,"FAIL",IF(F171&gt;0,"RED",IF(D171&gt;0,"PASS","SKIP")))</f>
        <v/>
      </c>
      <c r="C171" s="23">
        <f>SUM(D171:G171)</f>
        <v/>
      </c>
      <c r="D171" s="23" t="n">
        <v>1</v>
      </c>
      <c r="E171" s="23" t="n">
        <v>0</v>
      </c>
      <c r="F171" s="23" t="n">
        <v>0</v>
      </c>
      <c r="G171" s="23" t="n">
        <v>0</v>
      </c>
      <c r="H171" s="22" t="n"/>
    </row>
    <row r="172">
      <c r="A172" s="22" t="inlineStr">
        <is>
          <t>UT-DASH-13</t>
        </is>
      </c>
      <c r="B172" s="32">
        <f>IF(E172&gt;0,"FAIL",IF(F172&gt;0,"RED",IF(D172&gt;0,"PASS","SKIP")))</f>
        <v/>
      </c>
      <c r="C172" s="23">
        <f>SUM(D172:G172)</f>
        <v/>
      </c>
      <c r="D172" s="23" t="n">
        <v>1</v>
      </c>
      <c r="E172" s="23" t="n">
        <v>0</v>
      </c>
      <c r="F172" s="23" t="n">
        <v>0</v>
      </c>
      <c r="G172" s="23" t="n">
        <v>0</v>
      </c>
      <c r="H172" s="22" t="n"/>
    </row>
    <row r="173">
      <c r="A173" s="22" t="inlineStr">
        <is>
          <t>UT-DASH-14</t>
        </is>
      </c>
      <c r="B173" s="32">
        <f>IF(E173&gt;0,"FAIL",IF(F173&gt;0,"RED",IF(D173&gt;0,"PASS","SKIP")))</f>
        <v/>
      </c>
      <c r="C173" s="23">
        <f>SUM(D173:G173)</f>
        <v/>
      </c>
      <c r="D173" s="23" t="n">
        <v>1</v>
      </c>
      <c r="E173" s="23" t="n">
        <v>0</v>
      </c>
      <c r="F173" s="23" t="n">
        <v>0</v>
      </c>
      <c r="G173" s="23" t="n">
        <v>0</v>
      </c>
      <c r="H173" s="22" t="n"/>
    </row>
    <row r="174">
      <c r="A174" s="22" t="inlineStr">
        <is>
          <t>UT-DASH-15</t>
        </is>
      </c>
      <c r="B174" s="32">
        <f>IF(E174&gt;0,"FAIL",IF(F174&gt;0,"RED",IF(D174&gt;0,"PASS","SKIP")))</f>
        <v/>
      </c>
      <c r="C174" s="23">
        <f>SUM(D174:G174)</f>
        <v/>
      </c>
      <c r="D174" s="23" t="n">
        <v>1</v>
      </c>
      <c r="E174" s="23" t="n">
        <v>0</v>
      </c>
      <c r="F174" s="23" t="n">
        <v>0</v>
      </c>
      <c r="G174" s="23" t="n">
        <v>0</v>
      </c>
      <c r="H174" s="22" t="n"/>
    </row>
    <row r="175">
      <c r="A175" s="22" t="inlineStr">
        <is>
          <t>UT-DASH-16</t>
        </is>
      </c>
      <c r="B175" s="32">
        <f>IF(E175&gt;0,"FAIL",IF(F175&gt;0,"RED",IF(D175&gt;0,"PASS","SKIP")))</f>
        <v/>
      </c>
      <c r="C175" s="23">
        <f>SUM(D175:G175)</f>
        <v/>
      </c>
      <c r="D175" s="23" t="n">
        <v>1</v>
      </c>
      <c r="E175" s="23" t="n">
        <v>0</v>
      </c>
      <c r="F175" s="23" t="n">
        <v>0</v>
      </c>
      <c r="G175" s="23" t="n">
        <v>0</v>
      </c>
      <c r="H175" s="22" t="n"/>
    </row>
    <row r="176">
      <c r="A176" s="22" t="inlineStr">
        <is>
          <t>UT-PRIV-01</t>
        </is>
      </c>
      <c r="B176" s="32">
        <f>IF(E176&gt;0,"FAIL",IF(F176&gt;0,"RED",IF(D176&gt;0,"PASS","SKIP")))</f>
        <v/>
      </c>
      <c r="C176" s="23">
        <f>SUM(D176:G176)</f>
        <v/>
      </c>
      <c r="D176" s="23" t="n">
        <v>0</v>
      </c>
      <c r="E176" s="23" t="n">
        <v>0</v>
      </c>
      <c r="F176" s="23" t="n">
        <v>1</v>
      </c>
      <c r="G176" s="23" t="n">
        <v>0</v>
      </c>
      <c r="H176" s="22" t="n"/>
    </row>
    <row r="177">
      <c r="A177" s="22" t="inlineStr">
        <is>
          <t>UT-PRIV-02</t>
        </is>
      </c>
      <c r="B177" s="32">
        <f>IF(E177&gt;0,"FAIL",IF(F177&gt;0,"RED",IF(D177&gt;0,"PASS","SKIP")))</f>
        <v/>
      </c>
      <c r="C177" s="23">
        <f>SUM(D177:G177)</f>
        <v/>
      </c>
      <c r="D177" s="23" t="n">
        <v>0</v>
      </c>
      <c r="E177" s="23" t="n">
        <v>0</v>
      </c>
      <c r="F177" s="23" t="n">
        <v>1</v>
      </c>
      <c r="G177" s="23" t="n">
        <v>0</v>
      </c>
      <c r="H177" s="22" t="n"/>
    </row>
    <row r="178">
      <c r="A178" s="22" t="inlineStr">
        <is>
          <t>UT-PRIV-03</t>
        </is>
      </c>
      <c r="B178" s="32">
        <f>IF(E178&gt;0,"FAIL",IF(F178&gt;0,"RED",IF(D178&gt;0,"PASS","SKIP")))</f>
        <v/>
      </c>
      <c r="C178" s="23">
        <f>SUM(D178:G178)</f>
        <v/>
      </c>
      <c r="D178" s="23" t="n">
        <v>0</v>
      </c>
      <c r="E178" s="23" t="n">
        <v>0</v>
      </c>
      <c r="F178" s="23" t="n">
        <v>5</v>
      </c>
      <c r="G178" s="23" t="n">
        <v>0</v>
      </c>
      <c r="H178" s="22" t="n"/>
    </row>
    <row r="179">
      <c r="A179" s="22" t="inlineStr">
        <is>
          <t>UT-PRIV-04</t>
        </is>
      </c>
      <c r="B179" s="32">
        <f>IF(E179&gt;0,"FAIL",IF(F179&gt;0,"RED",IF(D179&gt;0,"PASS","SKIP")))</f>
        <v/>
      </c>
      <c r="C179" s="23">
        <f>SUM(D179:G179)</f>
        <v/>
      </c>
      <c r="D179" s="23" t="n">
        <v>0</v>
      </c>
      <c r="E179" s="23" t="n">
        <v>0</v>
      </c>
      <c r="F179" s="23" t="n">
        <v>4</v>
      </c>
      <c r="G179" s="23" t="n">
        <v>0</v>
      </c>
      <c r="H179" s="22" t="n"/>
    </row>
    <row r="180">
      <c r="A180" s="22" t="inlineStr">
        <is>
          <t>UT-PRIV-05</t>
        </is>
      </c>
      <c r="B180" s="32">
        <f>IF(E180&gt;0,"FAIL",IF(F180&gt;0,"RED",IF(D180&gt;0,"PASS","SKIP")))</f>
        <v/>
      </c>
      <c r="C180" s="23">
        <f>SUM(D180:G180)</f>
        <v/>
      </c>
      <c r="D180" s="23" t="n">
        <v>0</v>
      </c>
      <c r="E180" s="23" t="n">
        <v>0</v>
      </c>
      <c r="F180" s="23" t="n">
        <v>1</v>
      </c>
      <c r="G180" s="23" t="n">
        <v>0</v>
      </c>
      <c r="H180" s="22" t="n"/>
    </row>
    <row r="181">
      <c r="A181" s="22" t="inlineStr">
        <is>
          <t>UT-PRIV-06</t>
        </is>
      </c>
      <c r="B181" s="32">
        <f>IF(E181&gt;0,"FAIL",IF(F181&gt;0,"RED",IF(D181&gt;0,"PASS","SKIP")))</f>
        <v/>
      </c>
      <c r="C181" s="23">
        <f>SUM(D181:G181)</f>
        <v/>
      </c>
      <c r="D181" s="23" t="n">
        <v>0</v>
      </c>
      <c r="E181" s="23" t="n">
        <v>0</v>
      </c>
      <c r="F181" s="23" t="n">
        <v>2</v>
      </c>
      <c r="G181" s="23" t="n">
        <v>0</v>
      </c>
      <c r="H181" s="22" t="n"/>
    </row>
    <row r="182">
      <c r="A182" s="22" t="inlineStr">
        <is>
          <t>UT-PRIV-07</t>
        </is>
      </c>
      <c r="B182" s="32">
        <f>IF(E182&gt;0,"FAIL",IF(F182&gt;0,"RED",IF(D182&gt;0,"PASS","SKIP")))</f>
        <v/>
      </c>
      <c r="C182" s="23">
        <f>SUM(D182:G182)</f>
        <v/>
      </c>
      <c r="D182" s="23" t="n">
        <v>0</v>
      </c>
      <c r="E182" s="23" t="n">
        <v>0</v>
      </c>
      <c r="F182" s="23" t="n">
        <v>1</v>
      </c>
      <c r="G182" s="23" t="n">
        <v>0</v>
      </c>
      <c r="H182" s="22" t="n"/>
    </row>
    <row r="183">
      <c r="A183" s="22" t="inlineStr">
        <is>
          <t>UT-PRIV-08</t>
        </is>
      </c>
      <c r="B183" s="32">
        <f>IF(E183&gt;0,"FAIL",IF(F183&gt;0,"RED",IF(D183&gt;0,"PASS","SKIP")))</f>
        <v/>
      </c>
      <c r="C183" s="23">
        <f>SUM(D183:G183)</f>
        <v/>
      </c>
      <c r="D183" s="23" t="n">
        <v>0</v>
      </c>
      <c r="E183" s="23" t="n">
        <v>0</v>
      </c>
      <c r="F183" s="23" t="n">
        <v>7</v>
      </c>
      <c r="G183" s="23" t="n">
        <v>0</v>
      </c>
      <c r="H183" s="22" t="n"/>
    </row>
    <row r="184">
      <c r="A184" s="22" t="inlineStr">
        <is>
          <t>UT-PRIV-09</t>
        </is>
      </c>
      <c r="B184" s="32">
        <f>IF(E184&gt;0,"FAIL",IF(F184&gt;0,"RED",IF(D184&gt;0,"PASS","SKIP")))</f>
        <v/>
      </c>
      <c r="C184" s="23">
        <f>SUM(D184:G184)</f>
        <v/>
      </c>
      <c r="D184" s="23" t="n">
        <v>0</v>
      </c>
      <c r="E184" s="23" t="n">
        <v>0</v>
      </c>
      <c r="F184" s="23" t="n">
        <v>1</v>
      </c>
      <c r="G184" s="23" t="n">
        <v>0</v>
      </c>
      <c r="H184" s="22" t="n"/>
    </row>
    <row r="185">
      <c r="A185" s="22" t="inlineStr">
        <is>
          <t>UT-PRIV-10</t>
        </is>
      </c>
      <c r="B185" s="32">
        <f>IF(E185&gt;0,"FAIL",IF(F185&gt;0,"RED",IF(D185&gt;0,"PASS","SKIP")))</f>
        <v/>
      </c>
      <c r="C185" s="23">
        <f>SUM(D185:G185)</f>
        <v/>
      </c>
      <c r="D185" s="23" t="n">
        <v>0</v>
      </c>
      <c r="E185" s="23" t="n">
        <v>0</v>
      </c>
      <c r="F185" s="23" t="n">
        <v>7</v>
      </c>
      <c r="G185" s="23" t="n">
        <v>0</v>
      </c>
      <c r="H185" s="22" t="n"/>
    </row>
    <row r="186">
      <c r="A186" s="22" t="inlineStr">
        <is>
          <t>UT-PRIV-11</t>
        </is>
      </c>
      <c r="B186" s="32">
        <f>IF(E186&gt;0,"FAIL",IF(F186&gt;0,"RED",IF(D186&gt;0,"PASS","SKIP")))</f>
        <v/>
      </c>
      <c r="C186" s="23">
        <f>SUM(D186:G186)</f>
        <v/>
      </c>
      <c r="D186" s="23" t="n">
        <v>0</v>
      </c>
      <c r="E186" s="23" t="n">
        <v>0</v>
      </c>
      <c r="F186" s="23" t="n">
        <v>1</v>
      </c>
      <c r="G186" s="23" t="n">
        <v>0</v>
      </c>
      <c r="H186" s="22" t="n"/>
    </row>
    <row r="187">
      <c r="A187" s="22" t="inlineStr">
        <is>
          <t>UT-PRIV-12</t>
        </is>
      </c>
      <c r="B187" s="32">
        <f>IF(E187&gt;0,"FAIL",IF(F187&gt;0,"RED",IF(D187&gt;0,"PASS","SKIP")))</f>
        <v/>
      </c>
      <c r="C187" s="23">
        <f>SUM(D187:G187)</f>
        <v/>
      </c>
      <c r="D187" s="23" t="n">
        <v>0</v>
      </c>
      <c r="E187" s="23" t="n">
        <v>0</v>
      </c>
      <c r="F187" s="23" t="n">
        <v>1</v>
      </c>
      <c r="G187" s="23" t="n">
        <v>0</v>
      </c>
      <c r="H187" s="22" t="n"/>
    </row>
    <row r="188">
      <c r="A188" s="22" t="inlineStr">
        <is>
          <t>UT-PRIV-13</t>
        </is>
      </c>
      <c r="B188" s="32">
        <f>IF(E188&gt;0,"FAIL",IF(F188&gt;0,"RED",IF(D188&gt;0,"PASS","SKIP")))</f>
        <v/>
      </c>
      <c r="C188" s="23">
        <f>SUM(D188:G188)</f>
        <v/>
      </c>
      <c r="D188" s="23" t="n">
        <v>0</v>
      </c>
      <c r="E188" s="23" t="n">
        <v>0</v>
      </c>
      <c r="F188" s="23" t="n">
        <v>1</v>
      </c>
      <c r="G188" s="23" t="n">
        <v>0</v>
      </c>
      <c r="H188" s="22" t="n"/>
    </row>
    <row r="189">
      <c r="A189" s="22" t="inlineStr">
        <is>
          <t>UT-PRIV-14</t>
        </is>
      </c>
      <c r="B189" s="32">
        <f>IF(E189&gt;0,"FAIL",IF(F189&gt;0,"RED",IF(D189&gt;0,"PASS","SKIP")))</f>
        <v/>
      </c>
      <c r="C189" s="23">
        <f>SUM(D189:G189)</f>
        <v/>
      </c>
      <c r="D189" s="23" t="n">
        <v>0</v>
      </c>
      <c r="E189" s="23" t="n">
        <v>0</v>
      </c>
      <c r="F189" s="23" t="n">
        <v>1</v>
      </c>
      <c r="G189" s="23" t="n">
        <v>0</v>
      </c>
      <c r="H189" s="22" t="n"/>
    </row>
    <row r="190">
      <c r="A190" s="22" t="inlineStr">
        <is>
          <t>UT-PRIV-15</t>
        </is>
      </c>
      <c r="B190" s="32">
        <f>IF(E190&gt;0,"FAIL",IF(F190&gt;0,"RED",IF(D190&gt;0,"PASS","SKIP")))</f>
        <v/>
      </c>
      <c r="C190" s="23">
        <f>SUM(D190:G190)</f>
        <v/>
      </c>
      <c r="D190" s="23" t="n">
        <v>0</v>
      </c>
      <c r="E190" s="23" t="n">
        <v>0</v>
      </c>
      <c r="F190" s="23" t="n">
        <v>1</v>
      </c>
      <c r="G190" s="23" t="n">
        <v>0</v>
      </c>
      <c r="H190" s="22" t="n"/>
    </row>
    <row r="191">
      <c r="A191" s="22" t="inlineStr">
        <is>
          <t>UT-PRIV-16</t>
        </is>
      </c>
      <c r="B191" s="32">
        <f>IF(E191&gt;0,"FAIL",IF(F191&gt;0,"RED",IF(D191&gt;0,"PASS","SKIP")))</f>
        <v/>
      </c>
      <c r="C191" s="23">
        <f>SUM(D191:G191)</f>
        <v/>
      </c>
      <c r="D191" s="23" t="n">
        <v>0</v>
      </c>
      <c r="E191" s="23" t="n">
        <v>0</v>
      </c>
      <c r="F191" s="23" t="n">
        <v>4</v>
      </c>
      <c r="G191" s="23" t="n">
        <v>0</v>
      </c>
      <c r="H191" s="22" t="n"/>
    </row>
    <row r="192">
      <c r="A192" s="22" t="inlineStr">
        <is>
          <t>UT-PRIV-17</t>
        </is>
      </c>
      <c r="B192" s="32">
        <f>IF(E192&gt;0,"FAIL",IF(F192&gt;0,"RED",IF(D192&gt;0,"PASS","SKIP")))</f>
        <v/>
      </c>
      <c r="C192" s="23">
        <f>SUM(D192:G192)</f>
        <v/>
      </c>
      <c r="D192" s="23" t="n">
        <v>0</v>
      </c>
      <c r="E192" s="23" t="n">
        <v>0</v>
      </c>
      <c r="F192" s="23" t="n">
        <v>1</v>
      </c>
      <c r="G192" s="23" t="n">
        <v>0</v>
      </c>
      <c r="H192" s="22" t="n"/>
    </row>
    <row r="193">
      <c r="A193" s="22" t="inlineStr">
        <is>
          <t>UT-PRIV-18</t>
        </is>
      </c>
      <c r="B193" s="32">
        <f>IF(E193&gt;0,"FAIL",IF(F193&gt;0,"RED",IF(D193&gt;0,"PASS","SKIP")))</f>
        <v/>
      </c>
      <c r="C193" s="23">
        <f>SUM(D193:G193)</f>
        <v/>
      </c>
      <c r="D193" s="23" t="n">
        <v>0</v>
      </c>
      <c r="E193" s="23" t="n">
        <v>0</v>
      </c>
      <c r="F193" s="23" t="n">
        <v>2</v>
      </c>
      <c r="G193" s="23" t="n">
        <v>0</v>
      </c>
      <c r="H193" s="22" t="n"/>
    </row>
    <row r="194">
      <c r="A194" s="22" t="inlineStr">
        <is>
          <t>UT-PRIV-19</t>
        </is>
      </c>
      <c r="B194" s="32">
        <f>IF(E194&gt;0,"FAIL",IF(F194&gt;0,"RED",IF(D194&gt;0,"PASS","SKIP")))</f>
        <v/>
      </c>
      <c r="C194" s="23">
        <f>SUM(D194:G194)</f>
        <v/>
      </c>
      <c r="D194" s="23" t="n">
        <v>0</v>
      </c>
      <c r="E194" s="23" t="n">
        <v>0</v>
      </c>
      <c r="F194" s="23" t="n">
        <v>1</v>
      </c>
      <c r="G194" s="23" t="n">
        <v>0</v>
      </c>
      <c r="H194" s="22" t="n"/>
    </row>
    <row r="195">
      <c r="A195" s="22" t="inlineStr">
        <is>
          <t>UT-PRIV-20</t>
        </is>
      </c>
      <c r="B195" s="32">
        <f>IF(E195&gt;0,"FAIL",IF(F195&gt;0,"RED",IF(D195&gt;0,"PASS","SKIP")))</f>
        <v/>
      </c>
      <c r="C195" s="23">
        <f>SUM(D195:G195)</f>
        <v/>
      </c>
      <c r="D195" s="23" t="n">
        <v>0</v>
      </c>
      <c r="E195" s="23" t="n">
        <v>0</v>
      </c>
      <c r="F195" s="23" t="n">
        <v>1</v>
      </c>
      <c r="G195" s="23" t="n">
        <v>0</v>
      </c>
      <c r="H195" s="22" t="n"/>
    </row>
    <row r="196">
      <c r="A196" s="22" t="inlineStr">
        <is>
          <t>UT-PRIV-21</t>
        </is>
      </c>
      <c r="B196" s="32">
        <f>IF(E196&gt;0,"FAIL",IF(F196&gt;0,"RED",IF(D196&gt;0,"PASS","SKIP")))</f>
        <v/>
      </c>
      <c r="C196" s="23">
        <f>SUM(D196:G196)</f>
        <v/>
      </c>
      <c r="D196" s="23" t="n">
        <v>0</v>
      </c>
      <c r="E196" s="23" t="n">
        <v>0</v>
      </c>
      <c r="F196" s="23" t="n">
        <v>1</v>
      </c>
      <c r="G196" s="23" t="n">
        <v>0</v>
      </c>
      <c r="H196" s="22" t="n"/>
    </row>
    <row r="197">
      <c r="A197" s="22" t="inlineStr">
        <is>
          <t>UT-PRIV-22</t>
        </is>
      </c>
      <c r="B197" s="32">
        <f>IF(E197&gt;0,"FAIL",IF(F197&gt;0,"RED",IF(D197&gt;0,"PASS","SKIP")))</f>
        <v/>
      </c>
      <c r="C197" s="23">
        <f>SUM(D197:G197)</f>
        <v/>
      </c>
      <c r="D197" s="23" t="n">
        <v>0</v>
      </c>
      <c r="E197" s="23" t="n">
        <v>0</v>
      </c>
      <c r="F197" s="23" t="n">
        <v>1</v>
      </c>
      <c r="G197" s="23" t="n">
        <v>0</v>
      </c>
      <c r="H197" s="22" t="n"/>
    </row>
    <row r="198">
      <c r="A198" s="22" t="inlineStr">
        <is>
          <t>UT-PRIV-23</t>
        </is>
      </c>
      <c r="B198" s="32">
        <f>IF(E198&gt;0,"FAIL",IF(F198&gt;0,"RED",IF(D198&gt;0,"PASS","SKIP")))</f>
        <v/>
      </c>
      <c r="C198" s="23">
        <f>SUM(D198:G198)</f>
        <v/>
      </c>
      <c r="D198" s="23" t="n">
        <v>0</v>
      </c>
      <c r="E198" s="23" t="n">
        <v>0</v>
      </c>
      <c r="F198" s="23" t="n">
        <v>1</v>
      </c>
      <c r="G198" s="23" t="n">
        <v>0</v>
      </c>
      <c r="H198" s="22" t="n"/>
    </row>
    <row r="199">
      <c r="A199" s="22" t="inlineStr">
        <is>
          <t>UT-PRIV-24</t>
        </is>
      </c>
      <c r="B199" s="32">
        <f>IF(E199&gt;0,"FAIL",IF(F199&gt;0,"RED",IF(D199&gt;0,"PASS","SKIP")))</f>
        <v/>
      </c>
      <c r="C199" s="23">
        <f>SUM(D199:G199)</f>
        <v/>
      </c>
      <c r="D199" s="23" t="n">
        <v>0</v>
      </c>
      <c r="E199" s="23" t="n">
        <v>0</v>
      </c>
      <c r="F199" s="23" t="n">
        <v>1</v>
      </c>
      <c r="G199" s="23" t="n">
        <v>0</v>
      </c>
      <c r="H199" s="22" t="n"/>
    </row>
    <row r="200">
      <c r="A200" s="22" t="inlineStr">
        <is>
          <t>UT-SEED-01</t>
        </is>
      </c>
      <c r="B200" s="32">
        <f>IF(E200&gt;0,"FAIL",IF(F200&gt;0,"RED",IF(D200&gt;0,"PASS","SKIP")))</f>
        <v/>
      </c>
      <c r="C200" s="23">
        <f>SUM(D200:G200)</f>
        <v/>
      </c>
      <c r="D200" s="23" t="n">
        <v>0</v>
      </c>
      <c r="E200" s="23" t="n">
        <v>0</v>
      </c>
      <c r="F200" s="23" t="n">
        <v>1</v>
      </c>
      <c r="G200" s="23" t="n">
        <v>0</v>
      </c>
      <c r="H200" s="22" t="n"/>
    </row>
    <row r="201">
      <c r="A201" s="22" t="inlineStr">
        <is>
          <t>UT-SEED-02</t>
        </is>
      </c>
      <c r="B201" s="32">
        <f>IF(E201&gt;0,"FAIL",IF(F201&gt;0,"RED",IF(D201&gt;0,"PASS","SKIP")))</f>
        <v/>
      </c>
      <c r="C201" s="23">
        <f>SUM(D201:G201)</f>
        <v/>
      </c>
      <c r="D201" s="23" t="n">
        <v>0</v>
      </c>
      <c r="E201" s="23" t="n">
        <v>0</v>
      </c>
      <c r="F201" s="23" t="n">
        <v>1</v>
      </c>
      <c r="G201" s="23" t="n">
        <v>0</v>
      </c>
      <c r="H201" s="22" t="n"/>
    </row>
    <row r="202">
      <c r="A202" s="22" t="inlineStr">
        <is>
          <t>UT-SEED-03</t>
        </is>
      </c>
      <c r="B202" s="32">
        <f>IF(E202&gt;0,"FAIL",IF(F202&gt;0,"RED",IF(D202&gt;0,"PASS","SKIP")))</f>
        <v/>
      </c>
      <c r="C202" s="23">
        <f>SUM(D202:G202)</f>
        <v/>
      </c>
      <c r="D202" s="23" t="n">
        <v>0</v>
      </c>
      <c r="E202" s="23" t="n">
        <v>0</v>
      </c>
      <c r="F202" s="23" t="n">
        <v>1</v>
      </c>
      <c r="G202" s="23" t="n">
        <v>0</v>
      </c>
      <c r="H202" s="22" t="n"/>
    </row>
    <row r="203">
      <c r="A203" s="22" t="inlineStr">
        <is>
          <t>UT-SEED-04</t>
        </is>
      </c>
      <c r="B203" s="32">
        <f>IF(E203&gt;0,"FAIL",IF(F203&gt;0,"RED",IF(D203&gt;0,"PASS","SKIP")))</f>
        <v/>
      </c>
      <c r="C203" s="23">
        <f>SUM(D203:G203)</f>
        <v/>
      </c>
      <c r="D203" s="23" t="n">
        <v>0</v>
      </c>
      <c r="E203" s="23" t="n">
        <v>0</v>
      </c>
      <c r="F203" s="23" t="n">
        <v>1</v>
      </c>
      <c r="G203" s="23" t="n">
        <v>0</v>
      </c>
      <c r="H203" s="22" t="n"/>
    </row>
    <row r="204">
      <c r="A204" s="22" t="inlineStr">
        <is>
          <t>UT-SEED-05</t>
        </is>
      </c>
      <c r="B204" s="32">
        <f>IF(E204&gt;0,"FAIL",IF(F204&gt;0,"RED",IF(D204&gt;0,"PASS","SKIP")))</f>
        <v/>
      </c>
      <c r="C204" s="23">
        <f>SUM(D204:G204)</f>
        <v/>
      </c>
      <c r="D204" s="23" t="n">
        <v>0</v>
      </c>
      <c r="E204" s="23" t="n">
        <v>0</v>
      </c>
      <c r="F204" s="23" t="n">
        <v>1</v>
      </c>
      <c r="G204" s="23" t="n">
        <v>0</v>
      </c>
      <c r="H204" s="22" t="n"/>
    </row>
    <row r="205">
      <c r="A205" s="22" t="inlineStr">
        <is>
          <t>UT-SEED-06</t>
        </is>
      </c>
      <c r="B205" s="32">
        <f>IF(E205&gt;0,"FAIL",IF(F205&gt;0,"RED",IF(D205&gt;0,"PASS","SKIP")))</f>
        <v/>
      </c>
      <c r="C205" s="23">
        <f>SUM(D205:G205)</f>
        <v/>
      </c>
      <c r="D205" s="23" t="n">
        <v>0</v>
      </c>
      <c r="E205" s="23" t="n">
        <v>0</v>
      </c>
      <c r="F205" s="23" t="n">
        <v>1</v>
      </c>
      <c r="G205" s="23" t="n">
        <v>0</v>
      </c>
      <c r="H205" s="22" t="n"/>
    </row>
  </sheetData>
  <conditionalFormatting sqref="B4:B600">
    <cfRule type="cellIs" priority="1" operator="equal" dxfId="0">
      <formula>"PASS"</formula>
    </cfRule>
    <cfRule type="cellIs" priority="2" operator="equal" dxfId="1">
      <formula>"RED"</formula>
    </cfRule>
    <cfRule type="cellIs" priority="3" operator="equal" dxfId="2">
      <formula>"FAIL"</formula>
    </cfRule>
    <cfRule type="cellIs" priority="4" operator="equal" dxfId="3">
      <formula>"SKIP"</formula>
    </cfRule>
    <cfRule type="cellIs" priority="5" operator="equal" dxfId="4">
      <formula>"미실행"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  <col width="10" customWidth="1" min="11" max="11"/>
  </cols>
  <sheetData>
    <row r="1">
      <c r="A1" s="1" t="inlineStr">
        <is>
          <t>실행 이력 (실행할 때마다 한 줄 추가)</t>
        </is>
      </c>
    </row>
    <row r="2">
      <c r="A2" s="2" t="inlineStr">
        <is>
          <t>케이스수·PASS·RED·FAIL·SKIP 은 해당 실행의 케이스(ID) 단위 집계(고정 기록값), Green% = PASS ÷ (PASS+RED+FAIL)</t>
        </is>
      </c>
    </row>
    <row r="3">
      <c r="A3" s="20" t="inlineStr">
        <is>
          <t>실행 일시</t>
        </is>
      </c>
      <c r="B3" s="20" t="inlineStr">
        <is>
          <t>브랜치</t>
        </is>
      </c>
      <c r="C3" s="20" t="inlineStr">
        <is>
          <t>커밋</t>
        </is>
      </c>
      <c r="D3" s="20" t="inlineStr">
        <is>
          <t>케이스 수</t>
        </is>
      </c>
      <c r="E3" s="20" t="inlineStr">
        <is>
          <t>PASS</t>
        </is>
      </c>
      <c r="F3" s="20" t="inlineStr">
        <is>
          <t>RED</t>
        </is>
      </c>
      <c r="G3" s="20" t="inlineStr">
        <is>
          <t>FAIL</t>
        </is>
      </c>
      <c r="H3" s="20" t="inlineStr">
        <is>
          <t>SKIP</t>
        </is>
      </c>
      <c r="I3" s="20" t="inlineStr">
        <is>
          <t>pytest 건수</t>
        </is>
      </c>
      <c r="J3" s="20" t="inlineStr">
        <is>
          <t>소요(초)</t>
        </is>
      </c>
      <c r="K3" s="20" t="inlineStr">
        <is>
          <t>Green %</t>
        </is>
      </c>
    </row>
    <row r="4">
      <c r="A4" s="33" t="inlineStr">
        <is>
          <t>2026-10-02 (Red 기준선)</t>
        </is>
      </c>
      <c r="B4" s="34" t="inlineStr">
        <is>
          <t>TDD 착수(구현 전)</t>
        </is>
      </c>
      <c r="C4" s="33" t="inlineStr">
        <is>
          <t>-</t>
        </is>
      </c>
      <c r="D4" s="35" t="n">
        <v>127</v>
      </c>
      <c r="E4" s="35" t="n">
        <v>0</v>
      </c>
      <c r="F4" s="35" t="n">
        <v>127</v>
      </c>
      <c r="G4" s="35" t="n">
        <v>0</v>
      </c>
      <c r="H4" s="35" t="n">
        <v>0</v>
      </c>
      <c r="I4" s="35" t="n">
        <v>254</v>
      </c>
      <c r="J4" s="35" t="n">
        <v>0</v>
      </c>
      <c r="K4" s="36">
        <f>IFERROR(E4/(E4+F4+G4),0)</f>
        <v/>
      </c>
    </row>
    <row r="5">
      <c r="A5" s="33" t="inlineStr">
        <is>
          <t>2026-10-03 02:08</t>
        </is>
      </c>
      <c r="B5" s="34" t="inlineStr">
        <is>
          <t>feature/ci-pipeline</t>
        </is>
      </c>
      <c r="C5" s="33" t="inlineStr">
        <is>
          <t>bce3094</t>
        </is>
      </c>
      <c r="D5" s="35" t="n">
        <v>130</v>
      </c>
      <c r="E5" s="35" t="n">
        <v>38</v>
      </c>
      <c r="F5" s="35" t="n">
        <v>92</v>
      </c>
      <c r="G5" s="35" t="n">
        <v>0</v>
      </c>
      <c r="H5" s="35" t="n">
        <v>0</v>
      </c>
      <c r="I5" s="35" t="n">
        <v>256</v>
      </c>
      <c r="J5" s="35" t="n">
        <v>19.1</v>
      </c>
      <c r="K5" s="36">
        <f>IFERROR(E5/(E5+F5+G5),0)</f>
        <v/>
      </c>
    </row>
    <row r="6">
      <c r="A6" s="33" t="inlineStr">
        <is>
          <t>2026-10-03 02:22</t>
        </is>
      </c>
      <c r="B6" s="34" t="inlineStr">
        <is>
          <t>feature/tracker-pages</t>
        </is>
      </c>
      <c r="C6" s="33" t="inlineStr">
        <is>
          <t>cdc5392</t>
        </is>
      </c>
      <c r="D6" s="35" t="n">
        <v>130</v>
      </c>
      <c r="E6" s="35" t="n">
        <v>38</v>
      </c>
      <c r="F6" s="35" t="n">
        <v>92</v>
      </c>
      <c r="G6" s="35" t="n">
        <v>0</v>
      </c>
      <c r="H6" s="35" t="n">
        <v>0</v>
      </c>
      <c r="I6" s="35" t="n">
        <v>260</v>
      </c>
      <c r="J6" s="35" t="n">
        <v>17.8</v>
      </c>
      <c r="K6" s="36">
        <f>IFERROR(E6/(E6+F6+G6),0)</f>
        <v/>
      </c>
    </row>
    <row r="7">
      <c r="A7" s="33" t="inlineStr">
        <is>
          <t>2026-10-03 02:43</t>
        </is>
      </c>
      <c r="B7" s="34" t="inlineStr">
        <is>
          <t>feature/sc02-dashboard-tests</t>
        </is>
      </c>
      <c r="C7" s="33" t="inlineStr">
        <is>
          <t>9bf4a2e</t>
        </is>
      </c>
      <c r="D7" s="35" t="n">
        <v>158</v>
      </c>
      <c r="E7" s="35" t="n">
        <v>38</v>
      </c>
      <c r="F7" s="35" t="n">
        <v>120</v>
      </c>
      <c r="G7" s="35" t="n">
        <v>0</v>
      </c>
      <c r="H7" s="35" t="n">
        <v>0</v>
      </c>
      <c r="I7" s="35" t="n">
        <v>292</v>
      </c>
      <c r="J7" s="35" t="n">
        <v>82.3</v>
      </c>
      <c r="K7" s="36">
        <f>IFERROR(E7/(E7+F7+G7),0)</f>
        <v/>
      </c>
    </row>
    <row r="8">
      <c r="A8" s="33" t="inlineStr">
        <is>
          <t>2026-10-03 02:46</t>
        </is>
      </c>
      <c r="B8" s="34" t="inlineStr">
        <is>
          <t>feature/sc02-dashboard</t>
        </is>
      </c>
      <c r="C8" s="33" t="inlineStr">
        <is>
          <t>ebf33d6</t>
        </is>
      </c>
      <c r="D8" s="35" t="n">
        <v>158</v>
      </c>
      <c r="E8" s="35" t="n">
        <v>66</v>
      </c>
      <c r="F8" s="35" t="n">
        <v>92</v>
      </c>
      <c r="G8" s="35" t="n">
        <v>0</v>
      </c>
      <c r="H8" s="35" t="n">
        <v>0</v>
      </c>
      <c r="I8" s="35" t="n">
        <v>292</v>
      </c>
      <c r="J8" s="35" t="n">
        <v>18</v>
      </c>
      <c r="K8" s="36">
        <f>IFERROR(E8/(E8+F8+G8),0)</f>
        <v/>
      </c>
    </row>
    <row r="9">
      <c r="A9" s="33" t="inlineStr">
        <is>
          <t>2026-10-03 02:50</t>
        </is>
      </c>
      <c r="B9" s="34" t="inlineStr">
        <is>
          <t>fix/sc02-screen-mapping</t>
        </is>
      </c>
      <c r="C9" s="33" t="inlineStr">
        <is>
          <t>bc987b1</t>
        </is>
      </c>
      <c r="D9" s="35" t="n">
        <v>158</v>
      </c>
      <c r="E9" s="35" t="n">
        <v>66</v>
      </c>
      <c r="F9" s="35" t="n">
        <v>92</v>
      </c>
      <c r="G9" s="35" t="n">
        <v>0</v>
      </c>
      <c r="H9" s="35" t="n">
        <v>0</v>
      </c>
      <c r="I9" s="35" t="n">
        <v>294</v>
      </c>
      <c r="J9" s="35" t="n">
        <v>21</v>
      </c>
      <c r="K9" s="36">
        <f>IFERROR(E9/(E9+F9+G9),0)</f>
        <v/>
      </c>
    </row>
    <row r="10">
      <c r="A10" s="33" t="inlineStr">
        <is>
          <t>2026-10-03 02:57</t>
        </is>
      </c>
      <c r="B10" s="34" t="inlineStr">
        <is>
          <t>fix/tracker-cache-bust</t>
        </is>
      </c>
      <c r="C10" s="33" t="inlineStr">
        <is>
          <t>dd69cfb</t>
        </is>
      </c>
      <c r="D10" s="35" t="n">
        <v>158</v>
      </c>
      <c r="E10" s="35" t="n">
        <v>66</v>
      </c>
      <c r="F10" s="35" t="n">
        <v>92</v>
      </c>
      <c r="G10" s="35" t="n">
        <v>0</v>
      </c>
      <c r="H10" s="35" t="n">
        <v>0</v>
      </c>
      <c r="I10" s="35" t="n">
        <v>294</v>
      </c>
      <c r="J10" s="35" t="n">
        <v>22.4</v>
      </c>
      <c r="K10" s="36">
        <f>IFERROR(E10/(E10+F10+G10),0)</f>
        <v/>
      </c>
    </row>
    <row r="11">
      <c r="A11" s="33" t="inlineStr">
        <is>
          <t>2026-10-11 16:11</t>
        </is>
      </c>
      <c r="B11" s="34" t="inlineStr">
        <is>
          <t>feature/aws-deploy</t>
        </is>
      </c>
      <c r="C11" s="33" t="inlineStr">
        <is>
          <t>f3f397a</t>
        </is>
      </c>
      <c r="D11" s="35" t="n">
        <v>158</v>
      </c>
      <c r="E11" s="35" t="n">
        <v>66</v>
      </c>
      <c r="F11" s="35" t="n">
        <v>92</v>
      </c>
      <c r="G11" s="35" t="n">
        <v>0</v>
      </c>
      <c r="H11" s="35" t="n">
        <v>0</v>
      </c>
      <c r="I11" s="35" t="n">
        <v>308</v>
      </c>
      <c r="J11" s="35" t="n">
        <v>27.5</v>
      </c>
      <c r="K11" s="36">
        <f>IFERROR(E11/(E11+F11+G11),0)</f>
        <v/>
      </c>
    </row>
    <row r="12">
      <c r="A12" s="33" t="inlineStr">
        <is>
          <t>2026-10-11 17:11</t>
        </is>
      </c>
      <c r="B12" s="34" t="inlineStr">
        <is>
          <t>feature/https-budget</t>
        </is>
      </c>
      <c r="C12" s="33" t="inlineStr">
        <is>
          <t>1859e63</t>
        </is>
      </c>
      <c r="D12" s="35" t="n">
        <v>158</v>
      </c>
      <c r="E12" s="35" t="n">
        <v>66</v>
      </c>
      <c r="F12" s="35" t="n">
        <v>92</v>
      </c>
      <c r="G12" s="35" t="n">
        <v>0</v>
      </c>
      <c r="H12" s="35" t="n">
        <v>0</v>
      </c>
      <c r="I12" s="35" t="n">
        <v>311</v>
      </c>
      <c r="J12" s="35" t="n">
        <v>20.3</v>
      </c>
      <c r="K12" s="36">
        <f>IFERROR(E12/(E12+F12+G12),0)</f>
        <v/>
      </c>
    </row>
    <row r="13">
      <c r="A13" s="33" t="inlineStr">
        <is>
          <t>2026-10-11 17:29</t>
        </is>
      </c>
      <c r="B13" s="34" t="inlineStr">
        <is>
          <t>feature/service-url</t>
        </is>
      </c>
      <c r="C13" s="33" t="inlineStr">
        <is>
          <t>4b3607e</t>
        </is>
      </c>
      <c r="D13" s="35" t="n">
        <v>158</v>
      </c>
      <c r="E13" s="35" t="n">
        <v>66</v>
      </c>
      <c r="F13" s="35" t="n">
        <v>92</v>
      </c>
      <c r="G13" s="35" t="n">
        <v>0</v>
      </c>
      <c r="H13" s="35" t="n">
        <v>0</v>
      </c>
      <c r="I13" s="35" t="n">
        <v>311</v>
      </c>
      <c r="J13" s="35" t="n">
        <v>26.2</v>
      </c>
      <c r="K13" s="36">
        <f>IFERROR(E13/(E13+F13+G13),0)</f>
        <v/>
      </c>
    </row>
    <row r="14">
      <c r="A14" s="33" t="inlineStr">
        <is>
          <t>2026-10-11 23:29</t>
        </is>
      </c>
      <c r="B14" s="34" t="inlineStr">
        <is>
          <t>feature/case-detail</t>
        </is>
      </c>
      <c r="C14" s="33" t="inlineStr">
        <is>
          <t>e1f086b</t>
        </is>
      </c>
      <c r="D14" s="35" t="n">
        <v>158</v>
      </c>
      <c r="E14" s="35" t="n">
        <v>66</v>
      </c>
      <c r="F14" s="35" t="n">
        <v>92</v>
      </c>
      <c r="G14" s="35" t="n">
        <v>0</v>
      </c>
      <c r="H14" s="35" t="n">
        <v>0</v>
      </c>
      <c r="I14" s="35" t="n">
        <v>312</v>
      </c>
      <c r="J14" s="35" t="n">
        <v>27</v>
      </c>
      <c r="K14" s="36">
        <f>IFERROR(E14/(E14+F14+G14),0)</f>
        <v/>
      </c>
    </row>
    <row r="15">
      <c r="A15" s="33" t="inlineStr">
        <is>
          <t>2026-10-11 23:32</t>
        </is>
      </c>
      <c r="B15" s="34" t="inlineStr">
        <is>
          <t>feature/case-detail-prerun</t>
        </is>
      </c>
      <c r="C15" s="33" t="inlineStr">
        <is>
          <t>811f445</t>
        </is>
      </c>
      <c r="D15" s="35" t="n">
        <v>158</v>
      </c>
      <c r="E15" s="35" t="n">
        <v>66</v>
      </c>
      <c r="F15" s="35" t="n">
        <v>92</v>
      </c>
      <c r="G15" s="35" t="n">
        <v>0</v>
      </c>
      <c r="H15" s="35" t="n">
        <v>0</v>
      </c>
      <c r="I15" s="35" t="n">
        <v>312</v>
      </c>
      <c r="J15" s="35" t="n">
        <v>27.2</v>
      </c>
      <c r="K15" s="36">
        <f>IFERROR(E15/(E15+F15+G15),0)</f>
        <v/>
      </c>
    </row>
    <row r="16">
      <c r="A16" s="33" t="inlineStr">
        <is>
          <t>2026-10-11 23:42</t>
        </is>
      </c>
      <c r="B16" s="34" t="inlineStr">
        <is>
          <t>fix/detail-layout</t>
        </is>
      </c>
      <c r="C16" s="33" t="inlineStr">
        <is>
          <t>d6dc555</t>
        </is>
      </c>
      <c r="D16" s="35" t="n">
        <v>158</v>
      </c>
      <c r="E16" s="35" t="n">
        <v>66</v>
      </c>
      <c r="F16" s="35" t="n">
        <v>92</v>
      </c>
      <c r="G16" s="35" t="n">
        <v>0</v>
      </c>
      <c r="H16" s="35" t="n">
        <v>0</v>
      </c>
      <c r="I16" s="35" t="n">
        <v>312</v>
      </c>
      <c r="J16" s="35" t="n">
        <v>26.1</v>
      </c>
      <c r="K16" s="36">
        <f>IFERROR(E16/(E16+F16+G16),0)</f>
        <v/>
      </c>
    </row>
    <row r="17">
      <c r="A17" s="33" t="inlineStr">
        <is>
          <t>2026-10-11 23:43</t>
        </is>
      </c>
      <c r="B17" s="34" t="inlineStr">
        <is>
          <t>fix/demo-deploy-files</t>
        </is>
      </c>
      <c r="C17" s="33" t="inlineStr">
        <is>
          <t>7d6b8d9</t>
        </is>
      </c>
      <c r="D17" s="35" t="n">
        <v>158</v>
      </c>
      <c r="E17" s="35" t="n">
        <v>66</v>
      </c>
      <c r="F17" s="35" t="n">
        <v>92</v>
      </c>
      <c r="G17" s="35" t="n">
        <v>0</v>
      </c>
      <c r="H17" s="35" t="n">
        <v>0</v>
      </c>
      <c r="I17" s="35" t="n">
        <v>313</v>
      </c>
      <c r="J17" s="35" t="n">
        <v>26.2</v>
      </c>
      <c r="K17" s="36">
        <f>IFERROR(E17/(E17+F17+G17),0)</f>
        <v/>
      </c>
    </row>
    <row r="18">
      <c r="A18" s="33" t="inlineStr">
        <is>
          <t>2026-10-11 23:47</t>
        </is>
      </c>
      <c r="B18" s="34" t="inlineStr">
        <is>
          <t>fix/lazy-case-info</t>
        </is>
      </c>
      <c r="C18" s="33" t="inlineStr">
        <is>
          <t>4df1cfb</t>
        </is>
      </c>
      <c r="D18" s="35" t="n">
        <v>158</v>
      </c>
      <c r="E18" s="35" t="n">
        <v>66</v>
      </c>
      <c r="F18" s="35" t="n">
        <v>92</v>
      </c>
      <c r="G18" s="35" t="n">
        <v>0</v>
      </c>
      <c r="H18" s="35" t="n">
        <v>0</v>
      </c>
      <c r="I18" s="35" t="n">
        <v>314</v>
      </c>
      <c r="J18" s="35" t="n">
        <v>19.9</v>
      </c>
      <c r="K18" s="36">
        <f>IFERROR(E18/(E18+F18+G18),0)</f>
        <v/>
      </c>
    </row>
    <row r="19">
      <c r="A19" s="33" t="inlineStr">
        <is>
          <t>2026-10-11 23:58</t>
        </is>
      </c>
      <c r="B19" s="34" t="inlineStr">
        <is>
          <t>feature/run-one-case</t>
        </is>
      </c>
      <c r="C19" s="33" t="inlineStr">
        <is>
          <t>fb4a312</t>
        </is>
      </c>
      <c r="D19" s="35" t="n">
        <v>158</v>
      </c>
      <c r="E19" s="35" t="n">
        <v>66</v>
      </c>
      <c r="F19" s="35" t="n">
        <v>92</v>
      </c>
      <c r="G19" s="35" t="n">
        <v>0</v>
      </c>
      <c r="H19" s="35" t="n">
        <v>0</v>
      </c>
      <c r="I19" s="35" t="n">
        <v>317</v>
      </c>
      <c r="J19" s="35" t="n">
        <v>27</v>
      </c>
      <c r="K19" s="36">
        <f>IFERROR(E19/(E19+F19+G19),0)</f>
        <v/>
      </c>
    </row>
    <row r="20">
      <c r="A20" s="33" t="inlineStr">
        <is>
          <t>2026-10-25 18:17</t>
        </is>
      </c>
      <c r="B20" s="34" t="inlineStr">
        <is>
          <t>fix/attack-sc01-sc02</t>
        </is>
      </c>
      <c r="C20" s="33" t="inlineStr">
        <is>
          <t>0ca30b2</t>
        </is>
      </c>
      <c r="D20" s="35" t="n">
        <v>181</v>
      </c>
      <c r="E20" s="35" t="n">
        <v>89</v>
      </c>
      <c r="F20" s="35" t="n">
        <v>92</v>
      </c>
      <c r="G20" s="35" t="n">
        <v>0</v>
      </c>
      <c r="H20" s="35" t="n">
        <v>0</v>
      </c>
      <c r="I20" s="35" t="n">
        <v>357</v>
      </c>
      <c r="J20" s="35" t="n">
        <v>31.2</v>
      </c>
      <c r="K20" s="36">
        <f>IFERROR(E20/(E20+F20+G20),0)</f>
        <v/>
      </c>
    </row>
    <row r="21">
      <c r="A21" s="33" t="inlineStr">
        <is>
          <t>2026-10-25 18:53</t>
        </is>
      </c>
      <c r="B21" s="34" t="inlineStr">
        <is>
          <t>feature/sc04-cavp-apply</t>
        </is>
      </c>
      <c r="C21" s="33" t="inlineStr">
        <is>
          <t>3f02fb8</t>
        </is>
      </c>
      <c r="D21" s="35" t="n">
        <v>189</v>
      </c>
      <c r="E21" s="35" t="n">
        <v>113</v>
      </c>
      <c r="F21" s="35" t="n">
        <v>76</v>
      </c>
      <c r="G21" s="35" t="n">
        <v>0</v>
      </c>
      <c r="H21" s="35" t="n">
        <v>0</v>
      </c>
      <c r="I21" s="35" t="n">
        <v>365</v>
      </c>
      <c r="J21" s="35" t="n">
        <v>34.2</v>
      </c>
      <c r="K21" s="36">
        <f>IFERROR(E21/(E21+F21+G21),0)</f>
        <v/>
      </c>
    </row>
    <row r="22">
      <c r="A22" s="33" t="inlineStr">
        <is>
          <t>2026-10-25 20:05</t>
        </is>
      </c>
      <c r="B22" s="34" t="inlineStr">
        <is>
          <t>feature/sc05-cavp-status</t>
        </is>
      </c>
      <c r="C22" s="33" t="inlineStr">
        <is>
          <t>fd9b909</t>
        </is>
      </c>
      <c r="D22" s="35" t="n">
        <v>197</v>
      </c>
      <c r="E22" s="35" t="n">
        <v>132</v>
      </c>
      <c r="F22" s="35" t="n">
        <v>65</v>
      </c>
      <c r="G22" s="35" t="n">
        <v>0</v>
      </c>
      <c r="H22" s="35" t="n">
        <v>0</v>
      </c>
      <c r="I22" s="35" t="n">
        <v>373</v>
      </c>
      <c r="J22" s="35" t="n">
        <v>38.5</v>
      </c>
      <c r="K22" s="36">
        <f>IFERROR(E22/(E22+F22+G22),0)</f>
        <v/>
      </c>
    </row>
    <row r="23">
      <c r="A23" s="33" t="inlineStr">
        <is>
          <t>2026-10-26 00:31</t>
        </is>
      </c>
      <c r="B23" s="34" t="inlineStr">
        <is>
          <t>feature/weekly-report</t>
        </is>
      </c>
      <c r="C23" s="33" t="inlineStr">
        <is>
          <t>8a83a7e</t>
        </is>
      </c>
      <c r="D23" s="35" t="n">
        <v>197</v>
      </c>
      <c r="E23" s="35" t="n">
        <v>132</v>
      </c>
      <c r="F23" s="35" t="n">
        <v>65</v>
      </c>
      <c r="G23" s="35" t="n">
        <v>0</v>
      </c>
      <c r="H23" s="35" t="n">
        <v>0</v>
      </c>
      <c r="I23" s="35" t="n">
        <v>373</v>
      </c>
      <c r="J23" s="35" t="n">
        <v>38.6</v>
      </c>
      <c r="K23" s="36">
        <f>IFERROR(E23/(E23+F23+G23),0)</f>
        <v/>
      </c>
    </row>
    <row r="24">
      <c r="A24" s="33" t="inlineStr">
        <is>
          <t>2026-10-27 17:30</t>
        </is>
      </c>
      <c r="B24" s="34" t="inlineStr">
        <is>
          <t>feature/aws-lowcost</t>
        </is>
      </c>
      <c r="C24" s="33" t="inlineStr">
        <is>
          <t>b80b869</t>
        </is>
      </c>
      <c r="D24" s="35" t="n">
        <v>197</v>
      </c>
      <c r="E24" s="35" t="n">
        <v>132</v>
      </c>
      <c r="F24" s="35" t="n">
        <v>65</v>
      </c>
      <c r="G24" s="35" t="n">
        <v>0</v>
      </c>
      <c r="H24" s="35" t="n">
        <v>0</v>
      </c>
      <c r="I24" s="35" t="n">
        <v>373</v>
      </c>
      <c r="J24" s="35" t="n">
        <v>40.7</v>
      </c>
      <c r="K24" s="36">
        <f>IFERROR(E24/(E24+F24+G24),0)</f>
        <v/>
      </c>
    </row>
    <row r="25">
      <c r="A25" s="33" t="inlineStr">
        <is>
          <t>2026-10-27 18:07</t>
        </is>
      </c>
      <c r="B25" s="34" t="inlineStr">
        <is>
          <t>feature/store-layer</t>
        </is>
      </c>
      <c r="C25" s="33" t="inlineStr">
        <is>
          <t>76da7fe</t>
        </is>
      </c>
      <c r="D25" s="35" t="n">
        <v>202</v>
      </c>
      <c r="E25" s="35" t="n">
        <v>137</v>
      </c>
      <c r="F25" s="35" t="n">
        <v>65</v>
      </c>
      <c r="G25" s="35" t="n">
        <v>0</v>
      </c>
      <c r="H25" s="35" t="n">
        <v>0</v>
      </c>
      <c r="I25" s="35" t="n">
        <v>395</v>
      </c>
      <c r="J25" s="35" t="n">
        <v>35.1</v>
      </c>
      <c r="K25" s="36">
        <f>IFERROR(E25/(E25+F25+G25),0)</f>
        <v/>
      </c>
    </row>
    <row r="26">
      <c r="A26" s="33" t="inlineStr">
        <is>
          <t>2026-10-27 18:26</t>
        </is>
      </c>
      <c r="B26" s="34" t="inlineStr">
        <is>
          <t>feature/dynamo-store</t>
        </is>
      </c>
      <c r="C26" s="33" t="inlineStr">
        <is>
          <t>0f208f8</t>
        </is>
      </c>
      <c r="D26" s="35" t="n">
        <v>202</v>
      </c>
      <c r="E26" s="35" t="n">
        <v>137</v>
      </c>
      <c r="F26" s="35" t="n">
        <v>65</v>
      </c>
      <c r="G26" s="35" t="n">
        <v>0</v>
      </c>
      <c r="H26" s="35" t="n">
        <v>0</v>
      </c>
      <c r="I26" s="35" t="n">
        <v>430</v>
      </c>
      <c r="J26" s="35" t="n">
        <v>65.7</v>
      </c>
      <c r="K26" s="36">
        <f>IFERROR(E26/(E26+F26+G26),0)</f>
        <v/>
      </c>
    </row>
    <row r="27">
      <c r="A27" s="33" t="inlineStr">
        <is>
          <t>2026-10-27 18:42</t>
        </is>
      </c>
      <c r="B27" s="34" t="inlineStr">
        <is>
          <t>feature/lambda-deploy</t>
        </is>
      </c>
      <c r="C27" s="33" t="inlineStr">
        <is>
          <t>8b6f0be</t>
        </is>
      </c>
      <c r="D27" s="35" t="n">
        <v>202</v>
      </c>
      <c r="E27" s="35" t="n">
        <v>137</v>
      </c>
      <c r="F27" s="35" t="n">
        <v>65</v>
      </c>
      <c r="G27" s="35" t="n">
        <v>0</v>
      </c>
      <c r="H27" s="35" t="n">
        <v>0</v>
      </c>
      <c r="I27" s="35" t="n">
        <v>433</v>
      </c>
      <c r="J27" s="35" t="n">
        <v>56.4</v>
      </c>
      <c r="K27" s="36">
        <f>IFERROR(E27/(E27+F27+G27),0)</f>
        <v/>
      </c>
    </row>
  </sheetData>
  <conditionalFormatting sqref="K4:K600">
    <cfRule type="dataBar" priority="1">
      <dataBar>
        <cfvo type="num" val="0"/>
        <cfvo type="num" val="1"/>
        <color rgb="0066BB6A"/>
      </dataBar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2026-10-27T09:42:08Z</dcterms:created>
  <dcterms:modified xsi:type="dcterms:W3CDTF">2026-10-27T09:42:08Z</dcterms:modified>
</cp:coreProperties>
</file>